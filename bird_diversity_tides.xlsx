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s" sheetId="1" state="visible" r:id="rId3"/>
    <sheet name="Tide_summary" sheetId="2" state="visible" r:id="rId4"/>
    <sheet name="Data" sheetId="3" state="visible" r:id="rId5"/>
    <sheet name="Abundance" sheetId="4" state="visible" r:id="rId6"/>
    <sheet name="Tide_table" sheetId="5" state="visible" r:id="rId7"/>
    <sheet name="Survey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<sst xmlns="http://schemas.openxmlformats.org/spreadsheetml/2006/main" count="1130" uniqueCount="193">
  <si>
    <t xml:space="preserve">Bird diversity indices – dune shoreline, 28–30 Sep 2026</t>
  </si>
  <si>
    <t xml:space="preserve">Calculated from the Abundance sheet (summed counts per species). Natural log used for Shannon. Blue = input values.</t>
  </si>
  <si>
    <t xml:space="preserve">Index</t>
  </si>
  <si>
    <t xml:space="preserve">28.09.2026</t>
  </si>
  <si>
    <t xml:space="preserve">29.09.2026</t>
  </si>
  <si>
    <t xml:space="preserve">30.09.2026</t>
  </si>
  <si>
    <t xml:space="preserve">All 3 days</t>
  </si>
  <si>
    <t xml:space="preserve">Intertidal (I)</t>
  </si>
  <si>
    <t xml:space="preserve">Flight (F)</t>
  </si>
  <si>
    <t xml:space="preserve">Sand (S)</t>
  </si>
  <si>
    <t xml:space="preserve">Water (W)</t>
  </si>
  <si>
    <t xml:space="preserve">Species richness (S)</t>
  </si>
  <si>
    <t xml:space="preserve">Abundance (N, individuals)</t>
  </si>
  <si>
    <t xml:space="preserve">Shannon H'</t>
  </si>
  <si>
    <t xml:space="preserve">Maximum H' (ln S)</t>
  </si>
  <si>
    <t xml:space="preserve">Pielou evenness (J)</t>
  </si>
  <si>
    <t xml:space="preserve">Simpson dominance (D = Σp²)</t>
  </si>
  <si>
    <t xml:space="preserve">Gini-Simpson (1 – D)</t>
  </si>
  <si>
    <t xml:space="preserve">Inverse Simpson (1/D)</t>
  </si>
  <si>
    <t xml:space="preserve">Berger-Parker dominance (max p)</t>
  </si>
  <si>
    <t xml:space="preserve">Dominant species</t>
  </si>
  <si>
    <t xml:space="preserve">Margalef richness</t>
  </si>
  <si>
    <t xml:space="preserve">Menhinick richness</t>
  </si>
  <si>
    <t xml:space="preserve">Sampling effort</t>
  </si>
  <si>
    <t xml:space="preserve">Surveys (20-min counts, incl. empty ones)</t>
  </si>
  <si>
    <t xml:space="preserve">Birds per survey</t>
  </si>
  <si>
    <t xml:space="preserve">Total species on the dune</t>
  </si>
  <si>
    <t xml:space="preserve">Completeness (S observed / total)</t>
  </si>
  <si>
    <t xml:space="preserve">Notes</t>
  </si>
  <si>
    <t xml:space="preserve">• Surveys with no birds (code 0) are counted as surveys but add no species or individuals.</t>
  </si>
  <si>
    <t xml:space="preserve">• Several rows of the same species within one survey (separate flocks) are summed.</t>
  </si>
  <si>
    <t xml:space="preserve">• Day 3 only covers 14:00–17:40 (13 surveys) vs 25–30 on days 1–2, so compare days with care; richness depends on effort.</t>
  </si>
  <si>
    <t xml:space="preserve">• D, 1–D, 1/D and Berger-Parker: higher D / BP = stronger dominance; higher H', J, 1/D = more diverse/even.</t>
  </si>
  <si>
    <t xml:space="preserve">• Zone columns are totals pooled over all 3 days (a bird in flight "F" is not tied to a surface).</t>
  </si>
  <si>
    <t xml:space="preserve">• Blue cells (survey counts, 38 total species) are inputs: surveys counted from your Results sheet, 38 from you.</t>
  </si>
  <si>
    <t xml:space="preserve">Bird counts by tidal phase (per 20-min survey)</t>
  </si>
  <si>
    <t xml:space="preserve">Window around HW / NW counted as "High / Low water" (h)</t>
  </si>
  <si>
    <t xml:space="preserve">Phase = high/low water if the survey is within this window of the nearest extreme; otherwise rising or falling. Water level is cosine-interpolated between the tabulated HW/NW.</t>
  </si>
  <si>
    <t xml:space="preserve">Tidal phase</t>
  </si>
  <si>
    <t xml:space="preserve">Surveys (n)</t>
  </si>
  <si>
    <t xml:space="preserve">Mean N</t>
  </si>
  <si>
    <t xml:space="preserve">Mean S</t>
  </si>
  <si>
    <t xml:space="preserve">Mean I</t>
  </si>
  <si>
    <t xml:space="preserve">Mean F</t>
  </si>
  <si>
    <t xml:space="preserve">Mean Sand</t>
  </si>
  <si>
    <t xml:space="preserve">Mean Water</t>
  </si>
  <si>
    <t xml:space="preserve">Mean water level (m)</t>
  </si>
  <si>
    <t xml:space="preserve">Low water</t>
  </si>
  <si>
    <t xml:space="preserve">Rising</t>
  </si>
  <si>
    <t xml:space="preserve">High water</t>
  </si>
  <si>
    <t xml:space="preserve">Falling</t>
  </si>
  <si>
    <t xml:space="preserve">All surveys</t>
  </si>
  <si>
    <t xml:space="preserve">Statistics (computed in Python / scipy; static values, not formulas)</t>
  </si>
  <si>
    <t xml:space="preserve">Variable</t>
  </si>
  <si>
    <t xml:space="preserve">Spearman rho vs water level</t>
  </si>
  <si>
    <t xml:space="preserve">p</t>
  </si>
  <si>
    <t xml:space="preserve">Kruskal-Wallis H (4 phases)</t>
  </si>
  <si>
    <t xml:space="preserve">Abundance N</t>
  </si>
  <si>
    <t xml:space="preserve">Richness S</t>
  </si>
  <si>
    <t xml:space="preserve">People present</t>
  </si>
  <si>
    <t xml:space="preserve">Pooled diversity per tidal phase (all surveys of that phase combined; static)</t>
  </si>
  <si>
    <t xml:space="preserve">Species richness</t>
  </si>
  <si>
    <t xml:space="preserve">Individuals</t>
  </si>
  <si>
    <t xml:space="preserve">Mean birds per survey by species and tidal phase (static, top species)</t>
  </si>
  <si>
    <t xml:space="preserve">Species</t>
  </si>
  <si>
    <t xml:space="preserve">Ts</t>
  </si>
  <si>
    <t xml:space="preserve">Sh</t>
  </si>
  <si>
    <t xml:space="preserve">Ch</t>
  </si>
  <si>
    <t xml:space="preserve">Ca</t>
  </si>
  <si>
    <t xml:space="preserve">Lc</t>
  </si>
  <si>
    <t xml:space="preserve">La</t>
  </si>
  <si>
    <t xml:space="preserve">Wp</t>
  </si>
  <si>
    <t xml:space="preserve">Lm</t>
  </si>
  <si>
    <t xml:space="preserve">• Day 3 (30.09) covers only high water and falling tide (14:00–17:40); phase and day are partly confounded.</t>
  </si>
  <si>
    <t xml:space="preserve">• Surveys at 16:33 and 17:30 (29.09) and 15:30 (30.09) are off the 20-min grid and are treated as separate surveys.</t>
  </si>
  <si>
    <t xml:space="preserve">• Time of day is also confounded with tide (e.g. gull arrival times); correlations are not causal.</t>
  </si>
  <si>
    <t xml:space="preserve">Date</t>
  </si>
  <si>
    <t xml:space="preserve">Time</t>
  </si>
  <si>
    <t xml:space="preserve">Quantity</t>
  </si>
  <si>
    <t xml:space="preserve">Location</t>
  </si>
  <si>
    <t xml:space="preserve">People</t>
  </si>
  <si>
    <t xml:space="preserve">08:40:00</t>
  </si>
  <si>
    <t xml:space="preserve">I</t>
  </si>
  <si>
    <t xml:space="preserve">S</t>
  </si>
  <si>
    <t xml:space="preserve">09:00:00</t>
  </si>
  <si>
    <t xml:space="preserve">W</t>
  </si>
  <si>
    <t xml:space="preserve">09:20:00</t>
  </si>
  <si>
    <t xml:space="preserve">09:40:00</t>
  </si>
  <si>
    <t xml:space="preserve">10:00:00</t>
  </si>
  <si>
    <t xml:space="preserve">Cc</t>
  </si>
  <si>
    <t xml:space="preserve">F</t>
  </si>
  <si>
    <t xml:space="preserve">10:20:00</t>
  </si>
  <si>
    <t xml:space="preserve">10:40:00</t>
  </si>
  <si>
    <t xml:space="preserve">Ma</t>
  </si>
  <si>
    <t xml:space="preserve">11:00:00</t>
  </si>
  <si>
    <t xml:space="preserve">Sm</t>
  </si>
  <si>
    <t xml:space="preserve">11:20:00</t>
  </si>
  <si>
    <t xml:space="preserve">11:40:00</t>
  </si>
  <si>
    <t xml:space="preserve">Ka</t>
  </si>
  <si>
    <t xml:space="preserve">12:20:00</t>
  </si>
  <si>
    <t xml:space="preserve">12:40:00</t>
  </si>
  <si>
    <t xml:space="preserve">13:00:00</t>
  </si>
  <si>
    <t xml:space="preserve">13:40:00</t>
  </si>
  <si>
    <t xml:space="preserve">14:00:00</t>
  </si>
  <si>
    <t xml:space="preserve">Pc</t>
  </si>
  <si>
    <t xml:space="preserve">15:00:00</t>
  </si>
  <si>
    <t xml:space="preserve">15:40:00</t>
  </si>
  <si>
    <t xml:space="preserve">16:20:00</t>
  </si>
  <si>
    <t xml:space="preserve">16:40:00</t>
  </si>
  <si>
    <t xml:space="preserve">Ll</t>
  </si>
  <si>
    <t xml:space="preserve">Se</t>
  </si>
  <si>
    <t xml:space="preserve">Cr</t>
  </si>
  <si>
    <t xml:space="preserve">Oo</t>
  </si>
  <si>
    <t xml:space="preserve">12:00:00</t>
  </si>
  <si>
    <t xml:space="preserve">Do</t>
  </si>
  <si>
    <t xml:space="preserve">13:20:00</t>
  </si>
  <si>
    <t xml:space="preserve">14:40:00</t>
  </si>
  <si>
    <t xml:space="preserve">Ai</t>
  </si>
  <si>
    <t xml:space="preserve">16:00:00</t>
  </si>
  <si>
    <t xml:space="preserve">16:33:00</t>
  </si>
  <si>
    <t xml:space="preserve">17:00:00</t>
  </si>
  <si>
    <t xml:space="preserve">17:20:00</t>
  </si>
  <si>
    <t xml:space="preserve">17:30:00</t>
  </si>
  <si>
    <t xml:space="preserve">17:40:00</t>
  </si>
  <si>
    <t xml:space="preserve">14:20:00</t>
  </si>
  <si>
    <t xml:space="preserve">15:20:00</t>
  </si>
  <si>
    <t xml:space="preserve">15:30:00</t>
  </si>
  <si>
    <t xml:space="preserve">Code</t>
  </si>
  <si>
    <t xml:space="preserve">Scientific name</t>
  </si>
  <si>
    <t xml:space="preserve">German name</t>
  </si>
  <si>
    <t xml:space="preserve">Total</t>
  </si>
  <si>
    <t xml:space="preserve">I Intertidal</t>
  </si>
  <si>
    <t xml:space="preserve">F Flight</t>
  </si>
  <si>
    <t xml:space="preserve">S Sand</t>
  </si>
  <si>
    <t xml:space="preserve">W Water</t>
  </si>
  <si>
    <t xml:space="preserve">Thalasseus sandvicensis</t>
  </si>
  <si>
    <t xml:space="preserve">Brandseeschwalbe</t>
  </si>
  <si>
    <t xml:space="preserve">Sterna hirundo</t>
  </si>
  <si>
    <t xml:space="preserve">Flussseeschwalbe</t>
  </si>
  <si>
    <t xml:space="preserve">Charadrius hiaticula</t>
  </si>
  <si>
    <t xml:space="preserve">Sandregenpfeifer</t>
  </si>
  <si>
    <t xml:space="preserve">Calidris alba</t>
  </si>
  <si>
    <t xml:space="preserve">Sanderling</t>
  </si>
  <si>
    <t xml:space="preserve">Larus canus</t>
  </si>
  <si>
    <t xml:space="preserve">Sturmmöwe</t>
  </si>
  <si>
    <t xml:space="preserve">Larus argentatus</t>
  </si>
  <si>
    <t xml:space="preserve">Silbermöwe</t>
  </si>
  <si>
    <t xml:space="preserve">Anthus pratensis</t>
  </si>
  <si>
    <t xml:space="preserve">Wiesenpieper</t>
  </si>
  <si>
    <t xml:space="preserve">Larus marinus</t>
  </si>
  <si>
    <t xml:space="preserve">Mantelmöwe</t>
  </si>
  <si>
    <t xml:space="preserve">Corvus corone</t>
  </si>
  <si>
    <t xml:space="preserve">Rabenkrähe</t>
  </si>
  <si>
    <t xml:space="preserve">Arenaria interpres</t>
  </si>
  <si>
    <t xml:space="preserve">Steinwälzer</t>
  </si>
  <si>
    <t xml:space="preserve">Calidris alpina</t>
  </si>
  <si>
    <t xml:space="preserve">Alpenstrandläufer</t>
  </si>
  <si>
    <t xml:space="preserve">Oenanthe oenanthe</t>
  </si>
  <si>
    <t xml:space="preserve">Steinschmätzer</t>
  </si>
  <si>
    <t xml:space="preserve">Motacilla alba</t>
  </si>
  <si>
    <t xml:space="preserve">Bachstelze</t>
  </si>
  <si>
    <t xml:space="preserve">Chroicocephalus ridibundus</t>
  </si>
  <si>
    <t xml:space="preserve">Lachmöwe</t>
  </si>
  <si>
    <t xml:space="preserve">Limosa lapponica</t>
  </si>
  <si>
    <t xml:space="preserve">Pfuhlschnepfe</t>
  </si>
  <si>
    <t xml:space="preserve">Phalacrocorax carbo</t>
  </si>
  <si>
    <t xml:space="preserve">Kormoran</t>
  </si>
  <si>
    <t xml:space="preserve">Coleus monedula</t>
  </si>
  <si>
    <t xml:space="preserve">Dohle</t>
  </si>
  <si>
    <t xml:space="preserve">Anas platyrhychos</t>
  </si>
  <si>
    <t xml:space="preserve">Stockente</t>
  </si>
  <si>
    <t xml:space="preserve">Soateria mollissima</t>
  </si>
  <si>
    <t xml:space="preserve">Eiderente</t>
  </si>
  <si>
    <t xml:space="preserve">Tide table, Helgoland (HW = high water, NW = low water); heights above SKN (chart datum)</t>
  </si>
  <si>
    <t xml:space="preserve">Date-time</t>
  </si>
  <si>
    <t xml:space="preserve">Height (m)</t>
  </si>
  <si>
    <t xml:space="preserve">Event</t>
  </si>
  <si>
    <t xml:space="preserve">Tidal range type</t>
  </si>
  <si>
    <t xml:space="preserve">HW</t>
  </si>
  <si>
    <t xml:space="preserve">Sp</t>
  </si>
  <si>
    <t xml:space="preserve">NW</t>
  </si>
  <si>
    <t xml:space="preserve">Mt</t>
  </si>
  <si>
    <t xml:space="preserve">Source: tide table supplied by the user (blue = input). Sp = spring tide, Mt = mean tide (as given in the table).</t>
  </si>
  <si>
    <t xml:space="preserve">Prev. extreme idx</t>
  </si>
  <si>
    <t xml:space="preserve">Prev. extreme time</t>
  </si>
  <si>
    <t xml:space="preserve">Next extreme time</t>
  </si>
  <si>
    <t xml:space="preserve">Prev. height (m)</t>
  </si>
  <si>
    <t xml:space="preserve">Next height (m)</t>
  </si>
  <si>
    <t xml:space="preserve">Prev. event</t>
  </si>
  <si>
    <t xml:space="preserve">Next event</t>
  </si>
  <si>
    <t xml:space="preserve">Water level (m SKN)</t>
  </si>
  <si>
    <t xml:space="preserve">h since prev. extreme</t>
  </si>
  <si>
    <t xml:space="preserve">h to next extreme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</si>
</sst>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0"/>
    <numFmt numFmtId="167" formatCode="0.0"/>
    <numFmt numFmtId="168" formatCode="0%"/>
    <numFmt numFmtId="169" formatCode="0.00"/>
    <numFmt numFmtId="170" formatCode="0.0000"/>
    <numFmt numFmtId="171" formatCode="dd\.mm\.yyyy\ 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species abundance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Abundance!D1</c:f>
              <c:strCache>
                <c:ptCount val="1"/>
                <c:pt idx="0">
                  <c:v>28.09.2026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Abundance!$A$2:$A$11</c:f>
              <c:strCache>
                <c:ptCount val="10"/>
                <c:pt idx="0">
                  <c:v>Ts</c:v>
                </c:pt>
                <c:pt idx="1">
                  <c:v>Sh</c:v>
                </c:pt>
                <c:pt idx="2">
                  <c:v>Ch</c:v>
                </c:pt>
                <c:pt idx="3">
                  <c:v>Ca</c:v>
                </c:pt>
                <c:pt idx="4">
                  <c:v>Lc</c:v>
                </c:pt>
                <c:pt idx="5">
                  <c:v>La</c:v>
                </c:pt>
                <c:pt idx="6">
                  <c:v>Wp</c:v>
                </c:pt>
                <c:pt idx="7">
                  <c:v>Lm</c:v>
                </c:pt>
                <c:pt idx="8">
                  <c:v>Cc</c:v>
                </c:pt>
                <c:pt idx="9">
                  <c:v>Ai</c:v>
                </c:pt>
              </c:strCache>
            </c:strRef>
          </c:cat>
          <c:val>
            <c:numRef>
              <c:f>Abundance!$D$2:$D$11</c:f>
              <c:numCache>
                <c:formatCode>General</c:formatCode>
                <c:ptCount val="10"/>
                <c:pt idx="0">
                  <c:v>153</c:v>
                </c:pt>
                <c:pt idx="1">
                  <c:v>0</c:v>
                </c:pt>
                <c:pt idx="2">
                  <c:v>17</c:v>
                </c:pt>
                <c:pt idx="3">
                  <c:v>41</c:v>
                </c:pt>
                <c:pt idx="4">
                  <c:v>6</c:v>
                </c:pt>
                <c:pt idx="5">
                  <c:v>47</c:v>
                </c:pt>
                <c:pt idx="6">
                  <c:v>13</c:v>
                </c:pt>
                <c:pt idx="7">
                  <c:v>19</c:v>
                </c:pt>
                <c:pt idx="8">
                  <c:v>15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Abundance!E1</c:f>
              <c:strCache>
                <c:ptCount val="1"/>
                <c:pt idx="0">
                  <c:v>29.09.2026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Abundance!$A$2:$A$11</c:f>
              <c:strCache>
                <c:ptCount val="10"/>
                <c:pt idx="0">
                  <c:v>Ts</c:v>
                </c:pt>
                <c:pt idx="1">
                  <c:v>Sh</c:v>
                </c:pt>
                <c:pt idx="2">
                  <c:v>Ch</c:v>
                </c:pt>
                <c:pt idx="3">
                  <c:v>Ca</c:v>
                </c:pt>
                <c:pt idx="4">
                  <c:v>Lc</c:v>
                </c:pt>
                <c:pt idx="5">
                  <c:v>La</c:v>
                </c:pt>
                <c:pt idx="6">
                  <c:v>Wp</c:v>
                </c:pt>
                <c:pt idx="7">
                  <c:v>Lm</c:v>
                </c:pt>
                <c:pt idx="8">
                  <c:v>Cc</c:v>
                </c:pt>
                <c:pt idx="9">
                  <c:v>Ai</c:v>
                </c:pt>
              </c:strCache>
            </c:strRef>
          </c:cat>
          <c:val>
            <c:numRef>
              <c:f>Abundance!$E$2:$E$11</c:f>
              <c:numCache>
                <c:formatCode>General</c:formatCode>
                <c:ptCount val="10"/>
                <c:pt idx="0">
                  <c:v>69</c:v>
                </c:pt>
                <c:pt idx="1">
                  <c:v>133</c:v>
                </c:pt>
                <c:pt idx="2">
                  <c:v>52</c:v>
                </c:pt>
                <c:pt idx="3">
                  <c:v>61</c:v>
                </c:pt>
                <c:pt idx="4">
                  <c:v>65</c:v>
                </c:pt>
                <c:pt idx="5">
                  <c:v>22</c:v>
                </c:pt>
                <c:pt idx="6">
                  <c:v>14</c:v>
                </c:pt>
                <c:pt idx="7">
                  <c:v>35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</c:ser>
        <c:ser>
          <c:idx val="2"/>
          <c:order val="2"/>
          <c:tx>
            <c:strRef>
              <c:f>Abundance!F1</c:f>
              <c:strCache>
                <c:ptCount val="1"/>
                <c:pt idx="0">
                  <c:v>30.09.2026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Abundance!$A$2:$A$11</c:f>
              <c:strCache>
                <c:ptCount val="10"/>
                <c:pt idx="0">
                  <c:v>Ts</c:v>
                </c:pt>
                <c:pt idx="1">
                  <c:v>Sh</c:v>
                </c:pt>
                <c:pt idx="2">
                  <c:v>Ch</c:v>
                </c:pt>
                <c:pt idx="3">
                  <c:v>Ca</c:v>
                </c:pt>
                <c:pt idx="4">
                  <c:v>Lc</c:v>
                </c:pt>
                <c:pt idx="5">
                  <c:v>La</c:v>
                </c:pt>
                <c:pt idx="6">
                  <c:v>Wp</c:v>
                </c:pt>
                <c:pt idx="7">
                  <c:v>Lm</c:v>
                </c:pt>
                <c:pt idx="8">
                  <c:v>Cc</c:v>
                </c:pt>
                <c:pt idx="9">
                  <c:v>Ai</c:v>
                </c:pt>
              </c:strCache>
            </c:strRef>
          </c:cat>
          <c:val>
            <c:numRef>
              <c:f>Abundance!$F$2:$F$11</c:f>
              <c:numCache>
                <c:formatCode>General</c:formatCode>
                <c:ptCount val="10"/>
                <c:pt idx="0">
                  <c:v>20</c:v>
                </c:pt>
                <c:pt idx="1">
                  <c:v>42</c:v>
                </c:pt>
                <c:pt idx="2">
                  <c:v>103</c:v>
                </c:pt>
                <c:pt idx="3">
                  <c:v>17</c:v>
                </c:pt>
                <c:pt idx="4">
                  <c:v>4</c:v>
                </c:pt>
                <c:pt idx="5">
                  <c:v>3</c:v>
                </c:pt>
                <c:pt idx="6">
                  <c:v>40</c:v>
                </c:pt>
                <c:pt idx="7">
                  <c:v>0</c:v>
                </c:pt>
                <c:pt idx="8">
                  <c:v>3</c:v>
                </c:pt>
                <c:pt idx="9">
                  <c:v>17</c:v>
                </c:pt>
              </c:numCache>
            </c:numRef>
          </c:val>
        </c:ser>
        <c:gapWidth val="150"/>
        <c:overlap val="100"/>
        <c:axId val="81375794"/>
        <c:axId val="4772237"/>
      </c:barChart>
      <c:catAx>
        <c:axId val="813757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2237"/>
        <c:crosses val="autoZero"/>
        <c:auto val="1"/>
        <c:lblAlgn val="ctr"/>
        <c:lblOffset val="100"/>
        <c:noMultiLvlLbl val="0"/>
      </c:catAx>
      <c:valAx>
        <c:axId val="4772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Individuals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75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birds per survey by tidal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Tide_summary!C6</c:f>
              <c:strCache>
                <c:ptCount val="1"/>
                <c:pt idx="0">
                  <c:v>Mean 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Tide_summary!$A$7:$A$10</c:f>
              <c:strCache>
                <c:ptCount val="4"/>
                <c:pt idx="0">
                  <c:v>Low water</c:v>
                </c:pt>
                <c:pt idx="1">
                  <c:v>Rising</c:v>
                </c:pt>
                <c:pt idx="2">
                  <c:v>High water</c:v>
                </c:pt>
                <c:pt idx="3">
                  <c:v>Falling</c:v>
                </c:pt>
              </c:strCache>
            </c:strRef>
          </c:cat>
          <c:val>
            <c:numRef>
              <c:f>Tide_summary!$C$7:$C$10</c:f>
              <c:numCache>
                <c:formatCode>0.0</c:formatCode>
                <c:ptCount val="4"/>
                <c:pt idx="0">
                  <c:v>28.7</c:v>
                </c:pt>
                <c:pt idx="1">
                  <c:v>19.7142857142857</c:v>
                </c:pt>
                <c:pt idx="2">
                  <c:v>5.07407407407407</c:v>
                </c:pt>
                <c:pt idx="3">
                  <c:v>22.2941176470588</c:v>
                </c:pt>
              </c:numCache>
            </c:numRef>
          </c:val>
        </c:ser>
        <c:gapWidth val="150"/>
        <c:overlap val="0"/>
        <c:axId val="21737017"/>
        <c:axId val="31678519"/>
      </c:barChart>
      <c:catAx>
        <c:axId val="217370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78519"/>
        <c:crosses val="autoZero"/>
        <c:auto val="1"/>
        <c:lblAlgn val="ctr"/>
        <c:lblOffset val="100"/>
        <c:noMultiLvlLbl val="0"/>
      </c:catAx>
      <c:valAx>
        <c:axId val="31678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Birds per survey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370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Abundance vs water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"Survey"</c:f>
              <c:strCache>
                <c:ptCount val="1"/>
                <c:pt idx="0">
                  <c:v>Survey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Surveys!$R$2:$R$69</c:f>
              <c:numCache>
                <c:formatCode>0.00</c:formatCode>
                <c:ptCount val="68"/>
                <c:pt idx="0">
                  <c:v>0.591555413377472</c:v>
                </c:pt>
                <c:pt idx="1">
                  <c:v>0.678682753092304</c:v>
                </c:pt>
                <c:pt idx="2">
                  <c:v>0.810494332118343</c:v>
                </c:pt>
                <c:pt idx="3">
                  <c:v>0.982283190525369</c:v>
                </c:pt>
                <c:pt idx="4">
                  <c:v>1.18791478930736</c:v>
                </c:pt>
                <c:pt idx="5">
                  <c:v>1.42004607330176</c:v>
                </c:pt>
                <c:pt idx="6">
                  <c:v>1.67038768993129</c:v>
                </c:pt>
                <c:pt idx="7">
                  <c:v>1.93</c:v>
                </c:pt>
                <c:pt idx="8">
                  <c:v>2.18961231006871</c:v>
                </c:pt>
                <c:pt idx="9">
                  <c:v>2.43995392669825</c:v>
                </c:pt>
                <c:pt idx="10">
                  <c:v>2.67208521069264</c:v>
                </c:pt>
                <c:pt idx="11">
                  <c:v>2.87771680947463</c:v>
                </c:pt>
                <c:pt idx="12">
                  <c:v>3.04950566788166</c:v>
                </c:pt>
                <c:pt idx="13">
                  <c:v>3.1813172469077</c:v>
                </c:pt>
                <c:pt idx="14">
                  <c:v>3.26844458662253</c:v>
                </c:pt>
                <c:pt idx="15">
                  <c:v>3.30777639058395</c:v>
                </c:pt>
                <c:pt idx="16">
                  <c:v>3.30191297688939</c:v>
                </c:pt>
                <c:pt idx="17">
                  <c:v>3.26252781651463</c:v>
                </c:pt>
                <c:pt idx="18">
                  <c:v>3.19128564380398</c:v>
                </c:pt>
                <c:pt idx="19">
                  <c:v>3.08986447435696</c:v>
                </c:pt>
                <c:pt idx="20">
                  <c:v>2.96065315031548</c:v>
                </c:pt>
                <c:pt idx="21">
                  <c:v>2.8066950743317</c:v>
                </c:pt>
                <c:pt idx="22">
                  <c:v>2.63161652622475</c:v>
                </c:pt>
                <c:pt idx="23">
                  <c:v>2.43954125073296</c:v>
                </c:pt>
                <c:pt idx="24">
                  <c:v>2.23499332813478</c:v>
                </c:pt>
                <c:pt idx="25">
                  <c:v>0.463988982150169</c:v>
                </c:pt>
                <c:pt idx="26">
                  <c:v>0.466330323975889</c:v>
                </c:pt>
                <c:pt idx="27">
                  <c:v>0.516633580859349</c:v>
                </c:pt>
                <c:pt idx="28">
                  <c:v>0.615443777365984</c:v>
                </c:pt>
                <c:pt idx="29">
                  <c:v>0.759232425034532</c:v>
                </c:pt>
                <c:pt idx="30">
                  <c:v>0.942864865680962</c:v>
                </c:pt>
                <c:pt idx="31">
                  <c:v>1.15978362881294</c:v>
                </c:pt>
                <c:pt idx="32">
                  <c:v>1.40224259733119</c:v>
                </c:pt>
                <c:pt idx="33">
                  <c:v>1.66158361951666</c:v>
                </c:pt>
                <c:pt idx="34">
                  <c:v>1.9285456895555</c:v>
                </c:pt>
                <c:pt idx="35">
                  <c:v>2.19359565583961</c:v>
                </c:pt>
                <c:pt idx="36">
                  <c:v>2.44726864752817</c:v>
                </c:pt>
                <c:pt idx="37">
                  <c:v>2.68050606281941</c:v>
                </c:pt>
                <c:pt idx="38">
                  <c:v>2.8849790494523</c:v>
                </c:pt>
                <c:pt idx="39">
                  <c:v>3.05338592602672</c:v>
                </c:pt>
                <c:pt idx="40">
                  <c:v>3.17971292329822</c:v>
                </c:pt>
                <c:pt idx="41">
                  <c:v>3.25944893443799</c:v>
                </c:pt>
                <c:pt idx="42">
                  <c:v>3.28974660557768</c:v>
                </c:pt>
                <c:pt idx="43">
                  <c:v>3.27653906321608</c:v>
                </c:pt>
                <c:pt idx="44">
                  <c:v>3.23034204952059</c:v>
                </c:pt>
                <c:pt idx="45">
                  <c:v>3.15234672638436</c:v>
                </c:pt>
                <c:pt idx="46">
                  <c:v>3.04441736579738</c:v>
                </c:pt>
                <c:pt idx="47">
                  <c:v>2.90913373377315</c:v>
                </c:pt>
                <c:pt idx="48">
                  <c:v>2.74972942786271</c:v>
                </c:pt>
                <c:pt idx="49">
                  <c:v>2.63496550751098</c:v>
                </c:pt>
                <c:pt idx="50">
                  <c:v>2.57001458655438</c:v>
                </c:pt>
                <c:pt idx="51">
                  <c:v>2.37428481798675</c:v>
                </c:pt>
                <c:pt idx="52">
                  <c:v>2.16721852479313</c:v>
                </c:pt>
                <c:pt idx="53">
                  <c:v>2.06097347835341</c:v>
                </c:pt>
                <c:pt idx="54">
                  <c:v>1.95376507925569</c:v>
                </c:pt>
                <c:pt idx="55">
                  <c:v>3.04285998084432</c:v>
                </c:pt>
                <c:pt idx="56">
                  <c:v>3.15576962518609</c:v>
                </c:pt>
                <c:pt idx="57">
                  <c:v>3.22207639219869</c:v>
                </c:pt>
                <c:pt idx="58">
                  <c:v>3.23963266390816</c:v>
                </c:pt>
                <c:pt idx="59">
                  <c:v>3.21846531854324</c:v>
                </c:pt>
                <c:pt idx="60">
                  <c:v>3.19579370499558</c:v>
                </c:pt>
                <c:pt idx="61">
                  <c:v>3.16522998874938</c:v>
                </c:pt>
                <c:pt idx="62">
                  <c:v>3.08121172856831</c:v>
                </c:pt>
                <c:pt idx="63">
                  <c:v>2.9684386649083</c:v>
                </c:pt>
                <c:pt idx="64">
                  <c:v>2.82963304034427</c:v>
                </c:pt>
                <c:pt idx="65">
                  <c:v>2.66814550057621</c:v>
                </c:pt>
                <c:pt idx="66">
                  <c:v>2.48787421278883</c:v>
                </c:pt>
                <c:pt idx="67">
                  <c:v>2.29317076732405</c:v>
                </c:pt>
              </c:numCache>
            </c:numRef>
          </c:xVal>
          <c:yVal>
            <c:numRef>
              <c:f>Surveys!$D$2:$D$69</c:f>
              <c:numCache>
                <c:formatCode>General</c:formatCode>
                <c:ptCount val="68"/>
                <c:pt idx="0">
                  <c:v>23</c:v>
                </c:pt>
                <c:pt idx="1">
                  <c:v>36</c:v>
                </c:pt>
                <c:pt idx="2">
                  <c:v>33</c:v>
                </c:pt>
                <c:pt idx="3">
                  <c:v>32</c:v>
                </c:pt>
                <c:pt idx="4">
                  <c:v>44</c:v>
                </c:pt>
                <c:pt idx="5">
                  <c:v>26</c:v>
                </c:pt>
                <c:pt idx="6">
                  <c:v>29</c:v>
                </c:pt>
                <c:pt idx="7">
                  <c:v>15</c:v>
                </c:pt>
                <c:pt idx="8">
                  <c:v>5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0</c:v>
                </c:pt>
                <c:pt idx="15">
                  <c:v>1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18</c:v>
                </c:pt>
                <c:pt idx="24">
                  <c:v>36</c:v>
                </c:pt>
                <c:pt idx="25">
                  <c:v>0</c:v>
                </c:pt>
                <c:pt idx="26">
                  <c:v>25</c:v>
                </c:pt>
                <c:pt idx="27">
                  <c:v>39</c:v>
                </c:pt>
                <c:pt idx="28">
                  <c:v>49</c:v>
                </c:pt>
                <c:pt idx="29">
                  <c:v>44</c:v>
                </c:pt>
                <c:pt idx="30">
                  <c:v>6</c:v>
                </c:pt>
                <c:pt idx="31">
                  <c:v>21</c:v>
                </c:pt>
                <c:pt idx="32">
                  <c:v>40</c:v>
                </c:pt>
                <c:pt idx="33">
                  <c:v>43</c:v>
                </c:pt>
                <c:pt idx="34">
                  <c:v>5</c:v>
                </c:pt>
                <c:pt idx="35">
                  <c:v>14</c:v>
                </c:pt>
                <c:pt idx="36">
                  <c:v>11</c:v>
                </c:pt>
                <c:pt idx="37">
                  <c:v>19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0</c:v>
                </c:pt>
                <c:pt idx="43">
                  <c:v>4</c:v>
                </c:pt>
                <c:pt idx="44">
                  <c:v>3</c:v>
                </c:pt>
                <c:pt idx="45">
                  <c:v>0</c:v>
                </c:pt>
                <c:pt idx="46">
                  <c:v>12</c:v>
                </c:pt>
                <c:pt idx="47">
                  <c:v>7</c:v>
                </c:pt>
                <c:pt idx="48">
                  <c:v>12</c:v>
                </c:pt>
                <c:pt idx="49">
                  <c:v>13</c:v>
                </c:pt>
                <c:pt idx="50">
                  <c:v>2</c:v>
                </c:pt>
                <c:pt idx="51">
                  <c:v>3</c:v>
                </c:pt>
                <c:pt idx="52">
                  <c:v>67</c:v>
                </c:pt>
                <c:pt idx="53">
                  <c:v>18</c:v>
                </c:pt>
                <c:pt idx="54">
                  <c:v>19</c:v>
                </c:pt>
                <c:pt idx="55">
                  <c:v>9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9</c:v>
                </c:pt>
                <c:pt idx="60">
                  <c:v>3</c:v>
                </c:pt>
                <c:pt idx="61">
                  <c:v>5</c:v>
                </c:pt>
                <c:pt idx="62">
                  <c:v>41</c:v>
                </c:pt>
                <c:pt idx="63">
                  <c:v>20</c:v>
                </c:pt>
                <c:pt idx="64">
                  <c:v>2</c:v>
                </c:pt>
                <c:pt idx="65">
                  <c:v>11</c:v>
                </c:pt>
                <c:pt idx="66">
                  <c:v>109</c:v>
                </c:pt>
                <c:pt idx="67">
                  <c:v>61</c:v>
                </c:pt>
              </c:numCache>
            </c:numRef>
          </c:yVal>
          <c:smooth val="1"/>
        </c:ser>
        <c:axId val="27464349"/>
        <c:axId val="44742739"/>
      </c:scatterChart>
      <c:valAx>
        <c:axId val="274643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Water level (m above SKN)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42739"/>
        <c:crosses val="autoZero"/>
        <c:crossBetween val="midCat"/>
      </c:valAx>
      <c:valAx>
        <c:axId val="44742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Birds per survey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6434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160920</xdr:rowOff>
    </xdr:from>
    <xdr:to>
      <xdr:col>4</xdr:col>
      <xdr:colOff>347400</xdr:colOff>
      <xdr:row>47</xdr:row>
      <xdr:rowOff>182880</xdr:rowOff>
    </xdr:to>
    <xdr:graphicFrame>
      <xdr:nvGraphicFramePr>
        <xdr:cNvPr id="0" name="Chart 1"/>
        <xdr:cNvGraphicFramePr/>
      </xdr:nvGraphicFramePr>
      <xdr:xfrm>
        <a:off x="0" y="6477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160560</xdr:rowOff>
    </xdr:from>
    <xdr:to>
      <xdr:col>18</xdr:col>
      <xdr:colOff>147600</xdr:colOff>
      <xdr:row>16</xdr:row>
      <xdr:rowOff>182880</xdr:rowOff>
    </xdr:to>
    <xdr:graphicFrame>
      <xdr:nvGraphicFramePr>
        <xdr:cNvPr id="1" name="Chart 1"/>
        <xdr:cNvGraphicFramePr/>
      </xdr:nvGraphicFramePr>
      <xdr:xfrm>
        <a:off x="11184120" y="952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22</xdr:row>
      <xdr:rowOff>160560</xdr:rowOff>
    </xdr:from>
    <xdr:to>
      <xdr:col>18</xdr:col>
      <xdr:colOff>147600</xdr:colOff>
      <xdr:row>37</xdr:row>
      <xdr:rowOff>32040</xdr:rowOff>
    </xdr:to>
    <xdr:graphicFrame>
      <xdr:nvGraphicFramePr>
        <xdr:cNvPr id="2" name="Chart 2"/>
        <xdr:cNvGraphicFramePr/>
      </xdr:nvGraphicFramePr>
      <xdr:xfrm>
        <a:off x="11184120" y="4952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f aca="false">COUNTIF(Abundance!D$2:D$20,"&gt;0")</f>
        <v>13</v>
      </c>
      <c r="C5" s="5" t="n">
        <f aca="false">COUNTIF(Abundance!E$2:E$20,"&gt;0")</f>
        <v>17</v>
      </c>
      <c r="D5" s="5" t="n">
        <f aca="false">COUNTIF(Abundance!F$2:F$20,"&gt;0")</f>
        <v>14</v>
      </c>
      <c r="E5" s="5" t="n">
        <f aca="false">COUNTIF(Abundance!G$2:G$20,"&gt;0")</f>
        <v>19</v>
      </c>
      <c r="F5" s="5" t="n">
        <f aca="false">COUNTIF(Abundance!H$2:H$20,"&gt;0")</f>
        <v>17</v>
      </c>
      <c r="G5" s="5" t="n">
        <f aca="false">COUNTIF(Abundance!I$2:I$20,"&gt;0")</f>
        <v>13</v>
      </c>
      <c r="H5" s="5" t="n">
        <f aca="false">COUNTIF(Abundance!J$2:J$20,"&gt;0")</f>
        <v>8</v>
      </c>
      <c r="I5" s="5" t="n">
        <f aca="false">COUNTIF(Abundance!K$2:K$20,"&gt;0")</f>
        <v>5</v>
      </c>
    </row>
    <row r="6" customFormat="false" ht="15" hidden="false" customHeight="false" outlineLevel="0" collapsed="false">
      <c r="A6" s="4" t="s">
        <v>12</v>
      </c>
      <c r="B6" s="5" t="n">
        <f aca="false">SUM(Abundance!D$2:D$20)</f>
        <v>320</v>
      </c>
      <c r="C6" s="5" t="n">
        <f aca="false">SUM(Abundance!E$2:E$20)</f>
        <v>483</v>
      </c>
      <c r="D6" s="5" t="n">
        <f aca="false">SUM(Abundance!F$2:F$20)</f>
        <v>276</v>
      </c>
      <c r="E6" s="5" t="n">
        <f aca="false">SUM(Abundance!G$2:G$20)</f>
        <v>1079</v>
      </c>
      <c r="F6" s="5" t="n">
        <f aca="false">SUM(Abundance!H$2:H$20)</f>
        <v>813</v>
      </c>
      <c r="G6" s="5" t="n">
        <f aca="false">SUM(Abundance!I$2:I$20)</f>
        <v>82</v>
      </c>
      <c r="H6" s="5" t="n">
        <f aca="false">SUM(Abundance!J$2:J$20)</f>
        <v>153</v>
      </c>
      <c r="I6" s="5" t="n">
        <f aca="false">SUM(Abundance!K$2:K$20)</f>
        <v>31</v>
      </c>
    </row>
    <row r="7" customFormat="false" ht="15" hidden="false" customHeight="false" outlineLevel="0" collapsed="false">
      <c r="A7" s="4" t="s">
        <v>13</v>
      </c>
      <c r="B7" s="6" t="n">
        <f aca="false">-SUMPRODUCT(Abundance!D$2:D$20/B6,LN((Abundance!D$2:D$20+(Abundance!D$2:D$20=0))/B6))</f>
        <v>1.7101132310253</v>
      </c>
      <c r="C7" s="6" t="n">
        <f aca="false">-SUMPRODUCT(Abundance!E$2:E$20/C6,LN((Abundance!E$2:E$20+(Abundance!E$2:E$20=0))/C6))</f>
        <v>2.15196439127522</v>
      </c>
      <c r="D7" s="6" t="n">
        <f aca="false">-SUMPRODUCT(Abundance!F$2:F$20/D6,LN((Abundance!F$2:F$20+(Abundance!F$2:F$20=0))/D6))</f>
        <v>1.97122220600828</v>
      </c>
      <c r="E7" s="6" t="n">
        <f aca="false">-SUMPRODUCT(Abundance!G$2:G$20/E6,LN((Abundance!G$2:G$20+(Abundance!G$2:G$20=0))/E6))</f>
        <v>2.27659972567294</v>
      </c>
      <c r="F7" s="6" t="n">
        <f aca="false">-SUMPRODUCT(Abundance!H$2:H$20/F6,LN((Abundance!H$2:H$20+(Abundance!H$2:H$20=0))/F6))</f>
        <v>2.01813850253232</v>
      </c>
      <c r="G7" s="6" t="n">
        <f aca="false">-SUMPRODUCT(Abundance!I$2:I$20/G6,LN((Abundance!I$2:I$20+(Abundance!I$2:I$20=0))/G6))</f>
        <v>2.06387428434965</v>
      </c>
      <c r="H7" s="6" t="n">
        <f aca="false">-SUMPRODUCT(Abundance!J$2:J$20/H6,LN((Abundance!J$2:J$20+(Abundance!J$2:J$20=0))/H6))</f>
        <v>1.58200704017527</v>
      </c>
      <c r="I7" s="6" t="n">
        <f aca="false">-SUMPRODUCT(Abundance!K$2:K$20/I6,LN((Abundance!K$2:K$20+(Abundance!K$2:K$20=0))/I6))</f>
        <v>1.04798180775221</v>
      </c>
    </row>
    <row r="8" customFormat="false" ht="15" hidden="false" customHeight="false" outlineLevel="0" collapsed="false">
      <c r="A8" s="4" t="s">
        <v>14</v>
      </c>
      <c r="B8" s="6" t="n">
        <f aca="false">LN(B5)</f>
        <v>2.56494935746154</v>
      </c>
      <c r="C8" s="6" t="n">
        <f aca="false">LN(C5)</f>
        <v>2.83321334405622</v>
      </c>
      <c r="D8" s="6" t="n">
        <f aca="false">LN(D5)</f>
        <v>2.63905732961526</v>
      </c>
      <c r="E8" s="6" t="n">
        <f aca="false">LN(E5)</f>
        <v>2.94443897916644</v>
      </c>
      <c r="F8" s="6" t="n">
        <f aca="false">LN(F5)</f>
        <v>2.83321334405622</v>
      </c>
      <c r="G8" s="6" t="n">
        <f aca="false">LN(G5)</f>
        <v>2.56494935746154</v>
      </c>
      <c r="H8" s="6" t="n">
        <f aca="false">LN(H5)</f>
        <v>2.07944154167984</v>
      </c>
      <c r="I8" s="6" t="n">
        <f aca="false">LN(I5)</f>
        <v>1.6094379124341</v>
      </c>
    </row>
    <row r="9" customFormat="false" ht="15" hidden="false" customHeight="false" outlineLevel="0" collapsed="false">
      <c r="A9" s="4" t="s">
        <v>15</v>
      </c>
      <c r="B9" s="6" t="n">
        <f aca="false">B7/B8</f>
        <v>0.666723974900524</v>
      </c>
      <c r="C9" s="6" t="n">
        <f aca="false">C7/C8</f>
        <v>0.759549010239491</v>
      </c>
      <c r="D9" s="6" t="n">
        <f aca="false">D7/D8</f>
        <v>0.746941790118543</v>
      </c>
      <c r="E9" s="6" t="n">
        <f aca="false">E7/E8</f>
        <v>0.773186247628549</v>
      </c>
      <c r="F9" s="6" t="n">
        <f aca="false">F7/F8</f>
        <v>0.712314343276042</v>
      </c>
      <c r="G9" s="6" t="n">
        <f aca="false">G7/G8</f>
        <v>0.804645237281492</v>
      </c>
      <c r="H9" s="6" t="n">
        <f aca="false">H7/H8</f>
        <v>0.760784570504097</v>
      </c>
      <c r="I9" s="6" t="n">
        <f aca="false">I7/I8</f>
        <v>0.651147707939385</v>
      </c>
    </row>
    <row r="10" customFormat="false" ht="15" hidden="false" customHeight="false" outlineLevel="0" collapsed="false">
      <c r="A10" s="4" t="s">
        <v>16</v>
      </c>
      <c r="B10" s="6" t="n">
        <f aca="false">SUMPRODUCT((Abundance!D$2:D$20/B6)^2)</f>
        <v>0.27736328125</v>
      </c>
      <c r="C10" s="6" t="n">
        <f aca="false">SUMPRODUCT((Abundance!E$2:E$20/C6)^2)</f>
        <v>0.150727209598395</v>
      </c>
      <c r="D10" s="6" t="n">
        <f aca="false">SUMPRODUCT((Abundance!F$2:F$20/D6)^2)</f>
        <v>0.200273051879857</v>
      </c>
      <c r="E10" s="6" t="n">
        <f aca="false">SUMPRODUCT((Abundance!G$2:G$20/E6)^2)</f>
        <v>0.131169577432851</v>
      </c>
      <c r="F10" s="6" t="n">
        <f aca="false">SUMPRODUCT((Abundance!H$2:H$20/F6)^2)</f>
        <v>0.168544969582537</v>
      </c>
      <c r="G10" s="6" t="n">
        <f aca="false">SUMPRODUCT((Abundance!I$2:I$20/G6)^2)</f>
        <v>0.181142177275431</v>
      </c>
      <c r="H10" s="6" t="n">
        <f aca="false">SUMPRODUCT((Abundance!J$2:J$20/H6)^2)</f>
        <v>0.259857319834252</v>
      </c>
      <c r="I10" s="6" t="n">
        <f aca="false">SUMPRODUCT((Abundance!K$2:K$20/I6)^2)</f>
        <v>0.448491155046826</v>
      </c>
    </row>
    <row r="11" customFormat="false" ht="15" hidden="false" customHeight="false" outlineLevel="0" collapsed="false">
      <c r="A11" s="4" t="s">
        <v>17</v>
      </c>
      <c r="B11" s="6" t="n">
        <f aca="false">1-B10</f>
        <v>0.72263671875</v>
      </c>
      <c r="C11" s="6" t="n">
        <f aca="false">1-C10</f>
        <v>0.849272790401605</v>
      </c>
      <c r="D11" s="6" t="n">
        <f aca="false">1-D10</f>
        <v>0.799726948120143</v>
      </c>
      <c r="E11" s="6" t="n">
        <f aca="false">1-E10</f>
        <v>0.868830422567149</v>
      </c>
      <c r="F11" s="6" t="n">
        <f aca="false">1-F10</f>
        <v>0.831455030417463</v>
      </c>
      <c r="G11" s="6" t="n">
        <f aca="false">1-G10</f>
        <v>0.818857822724569</v>
      </c>
      <c r="H11" s="6" t="n">
        <f aca="false">1-H10</f>
        <v>0.740142680165748</v>
      </c>
      <c r="I11" s="6" t="n">
        <f aca="false">1-I10</f>
        <v>0.551508844953174</v>
      </c>
    </row>
    <row r="12" customFormat="false" ht="15" hidden="false" customHeight="false" outlineLevel="0" collapsed="false">
      <c r="A12" s="4" t="s">
        <v>18</v>
      </c>
      <c r="B12" s="6" t="n">
        <f aca="false">1/B10</f>
        <v>3.60537990282374</v>
      </c>
      <c r="C12" s="6" t="n">
        <f aca="false">1/C10</f>
        <v>6.63450217558229</v>
      </c>
      <c r="D12" s="6" t="n">
        <f aca="false">1/D10</f>
        <v>4.99318300996329</v>
      </c>
      <c r="E12" s="6" t="n">
        <f aca="false">1/E10</f>
        <v>7.62371900231153</v>
      </c>
      <c r="F12" s="6" t="n">
        <f aca="false">1/F10</f>
        <v>5.93313465526063</v>
      </c>
      <c r="G12" s="6" t="n">
        <f aca="false">1/G10</f>
        <v>5.52052545155993</v>
      </c>
      <c r="H12" s="6" t="n">
        <f aca="false">1/H10</f>
        <v>3.84826565839224</v>
      </c>
      <c r="I12" s="6" t="n">
        <f aca="false">1/I10</f>
        <v>2.22969837587007</v>
      </c>
    </row>
    <row r="13" customFormat="false" ht="15" hidden="false" customHeight="false" outlineLevel="0" collapsed="false">
      <c r="A13" s="4" t="s">
        <v>19</v>
      </c>
      <c r="B13" s="6" t="n">
        <f aca="false">MAX(Abundance!D$2:D$20)/B6</f>
        <v>0.478125</v>
      </c>
      <c r="C13" s="6" t="n">
        <f aca="false">MAX(Abundance!E$2:E$20)/C6</f>
        <v>0.27536231884058</v>
      </c>
      <c r="D13" s="6" t="n">
        <f aca="false">MAX(Abundance!F$2:F$20)/D6</f>
        <v>0.373188405797101</v>
      </c>
      <c r="E13" s="6" t="n">
        <f aca="false">MAX(Abundance!G$2:G$20)/E6</f>
        <v>0.224281742354032</v>
      </c>
      <c r="F13" s="6" t="n">
        <f aca="false">MAX(Abundance!H$2:H$20)/F6</f>
        <v>0.255842558425584</v>
      </c>
      <c r="G13" s="6" t="n">
        <f aca="false">MAX(Abundance!I$2:I$20)/G6</f>
        <v>0.317073170731707</v>
      </c>
      <c r="H13" s="6" t="n">
        <f aca="false">MAX(Abundance!J$2:J$20)/H6</f>
        <v>0.411764705882353</v>
      </c>
      <c r="I13" s="6" t="n">
        <f aca="false">MAX(Abundance!K$2:K$20)/I6</f>
        <v>0.612903225806452</v>
      </c>
    </row>
    <row r="14" customFormat="false" ht="15" hidden="false" customHeight="false" outlineLevel="0" collapsed="false">
      <c r="A14" s="4" t="s">
        <v>20</v>
      </c>
      <c r="B14" s="7" t="str">
        <f aca="false">INDEX(Abundance!$A$2:$A$20,MATCH(MAX(Abundance!D$2:D$20),Abundance!D$2:D$20,0))</f>
        <v>Ts</v>
      </c>
      <c r="C14" s="7" t="str">
        <f aca="false">INDEX(Abundance!$A$2:$A$20,MATCH(MAX(Abundance!E$2:E$20),Abundance!E$2:E$20,0))</f>
        <v>Sh</v>
      </c>
      <c r="D14" s="7" t="str">
        <f aca="false">INDEX(Abundance!$A$2:$A$20,MATCH(MAX(Abundance!F$2:F$20),Abundance!F$2:F$20,0))</f>
        <v>Ch</v>
      </c>
      <c r="E14" s="7" t="str">
        <f aca="false">INDEX(Abundance!$A$2:$A$20,MATCH(MAX(Abundance!G$2:G$20),Abundance!G$2:G$20,0))</f>
        <v>Ts</v>
      </c>
      <c r="F14" s="7" t="str">
        <f aca="false">INDEX(Abundance!$A$2:$A$20,MATCH(MAX(Abundance!H$2:H$20),Abundance!H$2:H$20,0))</f>
        <v>Ts</v>
      </c>
      <c r="G14" s="7" t="str">
        <f aca="false">INDEX(Abundance!$A$2:$A$20,MATCH(MAX(Abundance!I$2:I$20),Abundance!I$2:I$20,0))</f>
        <v>Ts</v>
      </c>
      <c r="H14" s="7" t="str">
        <f aca="false">INDEX(Abundance!$A$2:$A$20,MATCH(MAX(Abundance!J$2:J$20),Abundance!J$2:J$20,0))</f>
        <v>Wp</v>
      </c>
      <c r="I14" s="7" t="str">
        <f aca="false">INDEX(Abundance!$A$2:$A$20,MATCH(MAX(Abundance!K$2:K$20),Abundance!K$2:K$20,0))</f>
        <v>La</v>
      </c>
    </row>
    <row r="15" customFormat="false" ht="15" hidden="false" customHeight="false" outlineLevel="0" collapsed="false">
      <c r="A15" s="4" t="s">
        <v>21</v>
      </c>
      <c r="B15" s="6" t="n">
        <f aca="false">(B5-1)/LN(B6)</f>
        <v>2.0803280553822</v>
      </c>
      <c r="C15" s="6" t="n">
        <f aca="false">(C5-1)/LN(C6)</f>
        <v>2.58898978703294</v>
      </c>
      <c r="D15" s="6" t="n">
        <f aca="false">(D5-1)/LN(D6)</f>
        <v>2.31300227698994</v>
      </c>
      <c r="E15" s="6" t="n">
        <f aca="false">(E5-1)/LN(E6)</f>
        <v>2.57739709950379</v>
      </c>
      <c r="F15" s="6" t="n">
        <f aca="false">(F5-1)/LN(F6)</f>
        <v>2.38779914287289</v>
      </c>
      <c r="G15" s="6" t="n">
        <f aca="false">(G5-1)/LN(G6)</f>
        <v>2.72311425499815</v>
      </c>
      <c r="H15" s="6" t="n">
        <f aca="false">(H5-1)/LN(H6)</f>
        <v>1.39152895023946</v>
      </c>
      <c r="I15" s="6" t="n">
        <f aca="false">(I5-1)/LN(I6)</f>
        <v>1.16482670487985</v>
      </c>
    </row>
    <row r="16" customFormat="false" ht="15" hidden="false" customHeight="false" outlineLevel="0" collapsed="false">
      <c r="A16" s="4" t="s">
        <v>22</v>
      </c>
      <c r="B16" s="6" t="n">
        <f aca="false">B5/SQRT(B6)</f>
        <v>0.726722092687432</v>
      </c>
      <c r="C16" s="6" t="n">
        <f aca="false">C5/SQRT(C6)</f>
        <v>0.773526783828593</v>
      </c>
      <c r="D16" s="6" t="n">
        <f aca="false">D5/SQRT(D6)</f>
        <v>0.842700971600384</v>
      </c>
      <c r="E16" s="6" t="n">
        <f aca="false">E5/SQRT(E6)</f>
        <v>0.578419437270584</v>
      </c>
      <c r="F16" s="6" t="n">
        <f aca="false">F5/SQRT(F6)</f>
        <v>0.59621603025711</v>
      </c>
      <c r="G16" s="6" t="n">
        <f aca="false">G5/SQRT(G6)</f>
        <v>1.43560983897301</v>
      </c>
      <c r="H16" s="6" t="n">
        <f aca="false">H5/SQRT(H6)</f>
        <v>0.646761666763555</v>
      </c>
      <c r="I16" s="6" t="n">
        <f aca="false">I5/SQRT(I6)</f>
        <v>0.898026510133875</v>
      </c>
    </row>
    <row r="18" customFormat="false" ht="15" hidden="false" customHeight="false" outlineLevel="0" collapsed="false">
      <c r="A18" s="8" t="s">
        <v>23</v>
      </c>
    </row>
    <row r="19" customFormat="false" ht="15" hidden="false" customHeight="false" outlineLevel="0" collapsed="false">
      <c r="A19" s="4" t="s">
        <v>24</v>
      </c>
      <c r="B19" s="9" t="n">
        <v>25</v>
      </c>
      <c r="C19" s="9" t="n">
        <v>30</v>
      </c>
      <c r="D19" s="9" t="n">
        <v>13</v>
      </c>
      <c r="E19" s="7" t="n">
        <f aca="false">SUM(B19:D19)</f>
        <v>68</v>
      </c>
    </row>
    <row r="20" customFormat="false" ht="15" hidden="false" customHeight="false" outlineLevel="0" collapsed="false">
      <c r="A20" s="4" t="s">
        <v>25</v>
      </c>
      <c r="B20" s="10" t="n">
        <f aca="false">B6/B19</f>
        <v>12.8</v>
      </c>
      <c r="C20" s="10" t="n">
        <f aca="false">C6/C19</f>
        <v>16.1</v>
      </c>
      <c r="D20" s="10" t="n">
        <f aca="false">D6/D19</f>
        <v>21.2307692307692</v>
      </c>
      <c r="E20" s="11" t="n">
        <f aca="false">E6/E19</f>
        <v>15.8676470588235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4" t="s">
        <v>26</v>
      </c>
      <c r="E22" s="9" t="n">
        <v>38</v>
      </c>
    </row>
    <row r="23" customFormat="false" ht="15" hidden="false" customHeight="false" outlineLevel="0" collapsed="false">
      <c r="A23" s="4" t="s">
        <v>27</v>
      </c>
      <c r="B23" s="12" t="n">
        <f aca="false">B5/$E$22</f>
        <v>0.342105263157895</v>
      </c>
      <c r="C23" s="12" t="n">
        <f aca="false">C5/$E$22</f>
        <v>0.447368421052632</v>
      </c>
      <c r="D23" s="12" t="n">
        <f aca="false">D5/$E$22</f>
        <v>0.368421052631579</v>
      </c>
      <c r="E23" s="13" t="n">
        <f aca="false">E5/$E$22</f>
        <v>0.5</v>
      </c>
    </row>
    <row r="25" customFormat="false" ht="15" hidden="false" customHeight="false" outlineLevel="0" collapsed="false">
      <c r="A25" s="4" t="s">
        <v>28</v>
      </c>
    </row>
    <row r="26" customFormat="false" ht="15" hidden="false" customHeight="false" outlineLevel="0" collapsed="false">
      <c r="A26" s="14" t="s">
        <v>29</v>
      </c>
    </row>
    <row r="27" customFormat="false" ht="15" hidden="false" customHeight="false" outlineLevel="0" collapsed="false">
      <c r="A27" s="14" t="s">
        <v>30</v>
      </c>
    </row>
    <row r="28" customFormat="false" ht="15" hidden="false" customHeight="false" outlineLevel="0" collapsed="false">
      <c r="A28" s="14" t="s">
        <v>31</v>
      </c>
    </row>
    <row r="29" customFormat="false" ht="15" hidden="false" customHeight="false" outlineLevel="0" collapsed="false">
      <c r="A29" s="14" t="s">
        <v>32</v>
      </c>
    </row>
    <row r="30" customFormat="false" ht="15" hidden="false" customHeight="false" outlineLevel="0" collapsed="false">
      <c r="A30" s="14" t="s">
        <v>33</v>
      </c>
    </row>
    <row r="31" customFormat="false" ht="15" hidden="false" customHeight="false" outlineLevel="0" collapsed="false">
      <c r="A31" s="1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7.35" hidden="false" customHeight="false" outlineLevel="0" collapsed="false">
      <c r="A1" s="1" t="s">
        <v>35</v>
      </c>
    </row>
    <row r="3" customFormat="false" ht="15" hidden="false" customHeight="false" outlineLevel="0" collapsed="false">
      <c r="A3" s="14" t="s">
        <v>36</v>
      </c>
      <c r="B3" s="15" t="n">
        <v>1.5</v>
      </c>
    </row>
    <row r="4" customFormat="false" ht="15" hidden="false" customHeight="false" outlineLevel="0" collapsed="false">
      <c r="A4" s="2" t="s">
        <v>37</v>
      </c>
    </row>
    <row r="6" customFormat="false" ht="30" hidden="false" customHeight="true" outlineLevel="0" collapsed="false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</row>
    <row r="7" customFormat="false" ht="15" hidden="false" customHeight="false" outlineLevel="0" collapsed="false">
      <c r="A7" s="14" t="s">
        <v>47</v>
      </c>
      <c r="B7" s="14" t="n">
        <f aca="false">COUNTIF(Surveys!$U$2:$U$69,$A7)</f>
        <v>10</v>
      </c>
      <c r="C7" s="16" t="n">
        <f aca="false">AVERAGEIFS(Surveys!$D$2:$D$69,Surveys!$U$2:$U$69,$A7)</f>
        <v>28.7</v>
      </c>
      <c r="D7" s="16" t="n">
        <f aca="false">AVERAGEIFS(Surveys!$E$2:$E$69,Surveys!$U$2:$U$69,$A7)</f>
        <v>4</v>
      </c>
      <c r="E7" s="16" t="n">
        <f aca="false">AVERAGEIFS(Surveys!$F$2:$F$69,Surveys!$U$2:$U$69,$A7)</f>
        <v>24.9</v>
      </c>
      <c r="F7" s="16" t="n">
        <f aca="false">AVERAGEIFS(Surveys!$G$2:$G$69,Surveys!$U$2:$U$69,$A7)</f>
        <v>0.1</v>
      </c>
      <c r="G7" s="16" t="n">
        <f aca="false">AVERAGEIFS(Surveys!$H$2:$H$69,Surveys!$U$2:$U$69,$A7)</f>
        <v>1.7</v>
      </c>
      <c r="H7" s="16" t="n">
        <f aca="false">AVERAGEIFS(Surveys!$I$2:$I$69,Surveys!$U$2:$U$69,$A7)</f>
        <v>2</v>
      </c>
      <c r="I7" s="17" t="n">
        <f aca="false">AVERAGEIFS(Surveys!$R$2:$R$69,Surveys!$U$2:$U$69,$A7)</f>
        <v>0.682750964418037</v>
      </c>
    </row>
    <row r="8" customFormat="false" ht="15" hidden="false" customHeight="false" outlineLevel="0" collapsed="false">
      <c r="A8" s="14" t="s">
        <v>48</v>
      </c>
      <c r="B8" s="14" t="n">
        <f aca="false">COUNTIF(Surveys!$U$2:$U$69,$A8)</f>
        <v>14</v>
      </c>
      <c r="C8" s="16" t="n">
        <f aca="false">AVERAGEIFS(Surveys!$D$2:$D$69,Surveys!$U$2:$U$69,$A8)</f>
        <v>19.7142857142857</v>
      </c>
      <c r="D8" s="16" t="n">
        <f aca="false">AVERAGEIFS(Surveys!$E$2:$E$69,Surveys!$U$2:$U$69,$A8)</f>
        <v>3.85714285714286</v>
      </c>
      <c r="E8" s="16" t="n">
        <f aca="false">AVERAGEIFS(Surveys!$F$2:$F$69,Surveys!$U$2:$U$69,$A8)</f>
        <v>12.5714285714286</v>
      </c>
      <c r="F8" s="16" t="n">
        <f aca="false">AVERAGEIFS(Surveys!$G$2:$G$69,Surveys!$U$2:$U$69,$A8)</f>
        <v>3.14285714285714</v>
      </c>
      <c r="G8" s="16" t="n">
        <f aca="false">AVERAGEIFS(Surveys!$H$2:$H$69,Surveys!$U$2:$U$69,$A8)</f>
        <v>3.71428571428571</v>
      </c>
      <c r="H8" s="16" t="n">
        <f aca="false">AVERAGEIFS(Surveys!$I$2:$I$69,Surveys!$U$2:$U$69,$A8)</f>
        <v>0.285714285714286</v>
      </c>
      <c r="I8" s="17" t="n">
        <f aca="false">AVERAGEIFS(Surveys!$R$2:$R$69,Surveys!$U$2:$U$69,$A8)</f>
        <v>1.92739470724311</v>
      </c>
    </row>
    <row r="9" customFormat="false" ht="15" hidden="false" customHeight="false" outlineLevel="0" collapsed="false">
      <c r="A9" s="14" t="s">
        <v>49</v>
      </c>
      <c r="B9" s="14" t="n">
        <f aca="false">COUNTIF(Surveys!$U$2:$U$69,$A9)</f>
        <v>27</v>
      </c>
      <c r="C9" s="16" t="n">
        <f aca="false">AVERAGEIFS(Surveys!$D$2:$D$69,Surveys!$U$2:$U$69,$A9)</f>
        <v>5.07407407407407</v>
      </c>
      <c r="D9" s="16" t="n">
        <f aca="false">AVERAGEIFS(Surveys!$E$2:$E$69,Surveys!$U$2:$U$69,$A9)</f>
        <v>1.62962962962963</v>
      </c>
      <c r="E9" s="16" t="n">
        <f aca="false">AVERAGEIFS(Surveys!$F$2:$F$69,Surveys!$U$2:$U$69,$A9)</f>
        <v>3.66666666666667</v>
      </c>
      <c r="F9" s="16" t="n">
        <f aca="false">AVERAGEIFS(Surveys!$G$2:$G$69,Surveys!$U$2:$U$69,$A9)</f>
        <v>0.555555555555556</v>
      </c>
      <c r="G9" s="16" t="n">
        <f aca="false">AVERAGEIFS(Surveys!$H$2:$H$69,Surveys!$U$2:$U$69,$A9)</f>
        <v>0.62962962962963</v>
      </c>
      <c r="H9" s="16" t="n">
        <f aca="false">AVERAGEIFS(Surveys!$I$2:$I$69,Surveys!$U$2:$U$69,$A9)</f>
        <v>0.222222222222222</v>
      </c>
      <c r="I9" s="17" t="n">
        <f aca="false">AVERAGEIFS(Surveys!$R$2:$R$69,Surveys!$U$2:$U$69,$A9)</f>
        <v>3.15521290091292</v>
      </c>
    </row>
    <row r="10" customFormat="false" ht="15" hidden="false" customHeight="false" outlineLevel="0" collapsed="false">
      <c r="A10" s="14" t="s">
        <v>50</v>
      </c>
      <c r="B10" s="14" t="n">
        <f aca="false">COUNTIF(Surveys!$U$2:$U$69,$A10)</f>
        <v>17</v>
      </c>
      <c r="C10" s="16" t="n">
        <f aca="false">AVERAGEIFS(Surveys!$D$2:$D$69,Surveys!$U$2:$U$69,$A10)</f>
        <v>22.2941176470588</v>
      </c>
      <c r="D10" s="16" t="n">
        <f aca="false">AVERAGEIFS(Surveys!$E$2:$E$69,Surveys!$U$2:$U$69,$A10)</f>
        <v>2.17647058823529</v>
      </c>
      <c r="E10" s="16" t="n">
        <f aca="false">AVERAGEIFS(Surveys!$F$2:$F$69,Surveys!$U$2:$U$69,$A10)</f>
        <v>17</v>
      </c>
      <c r="F10" s="16" t="n">
        <f aca="false">AVERAGEIFS(Surveys!$G$2:$G$69,Surveys!$U$2:$U$69,$A10)</f>
        <v>1.29411764705882</v>
      </c>
      <c r="G10" s="16" t="n">
        <f aca="false">AVERAGEIFS(Surveys!$H$2:$H$69,Surveys!$U$2:$U$69,$A10)</f>
        <v>3.94117647058824</v>
      </c>
      <c r="H10" s="16" t="n">
        <f aca="false">AVERAGEIFS(Surveys!$I$2:$I$69,Surveys!$U$2:$U$69,$A10)</f>
        <v>0.0588235294117647</v>
      </c>
      <c r="I10" s="17" t="n">
        <f aca="false">AVERAGEIFS(Surveys!$R$2:$R$69,Surveys!$U$2:$U$69,$A10)</f>
        <v>2.51602400040372</v>
      </c>
    </row>
    <row r="11" customFormat="false" ht="15" hidden="false" customHeight="false" outlineLevel="0" collapsed="false">
      <c r="A11" s="4" t="s">
        <v>51</v>
      </c>
      <c r="B11" s="4" t="n">
        <f aca="false">COUNTA(Surveys!$U$2:$U$69)</f>
        <v>68</v>
      </c>
      <c r="C11" s="18" t="n">
        <f aca="false">AVERAGE(Surveys!$D$2:$D$69)</f>
        <v>15.8676470588235</v>
      </c>
      <c r="D11" s="18" t="n">
        <f aca="false">AVERAGE(Surveys!$E$2:$E$69)</f>
        <v>2.57352941176471</v>
      </c>
      <c r="E11" s="18" t="n">
        <f aca="false">AVERAGE(Surveys!$F$2:$F$69)</f>
        <v>11.9558823529412</v>
      </c>
      <c r="F11" s="18" t="n">
        <f aca="false">AVERAGE(Surveys!$G$2:$G$69)</f>
        <v>1.20588235294118</v>
      </c>
      <c r="G11" s="18" t="n">
        <f aca="false">AVERAGE(Surveys!$H$2:$H$69)</f>
        <v>2.25</v>
      </c>
      <c r="H11" s="18" t="n">
        <f aca="false">AVERAGE(Surveys!$I$2:$I$69)</f>
        <v>0.455882352941176</v>
      </c>
      <c r="I11" s="19" t="n">
        <f aca="false">AVERAGE(Surveys!$R$2:$R$69)</f>
        <v>2.3790322334867</v>
      </c>
    </row>
    <row r="14" customFormat="false" ht="15" hidden="false" customHeight="false" outlineLevel="0" collapsed="false">
      <c r="A14" s="8" t="s">
        <v>52</v>
      </c>
    </row>
    <row r="15" customFormat="false" ht="45" hidden="false" customHeight="true" outlineLevel="0" collapsed="false">
      <c r="A15" s="3" t="s">
        <v>53</v>
      </c>
      <c r="B15" s="3" t="s">
        <v>54</v>
      </c>
      <c r="C15" s="3" t="s">
        <v>55</v>
      </c>
      <c r="D15" s="3" t="s">
        <v>56</v>
      </c>
      <c r="E15" s="3" t="s">
        <v>55</v>
      </c>
    </row>
    <row r="16" customFormat="false" ht="15" hidden="false" customHeight="false" outlineLevel="0" collapsed="false">
      <c r="A16" s="14" t="s">
        <v>57</v>
      </c>
      <c r="B16" s="17" t="n">
        <v>-0.636095870890807</v>
      </c>
      <c r="C16" s="20" t="n">
        <v>5.57583088374672E-009</v>
      </c>
      <c r="D16" s="17" t="n">
        <v>19.4463154811207</v>
      </c>
      <c r="E16" s="20" t="n">
        <v>0.000221037233202154</v>
      </c>
    </row>
    <row r="17" customFormat="false" ht="15" hidden="false" customHeight="false" outlineLevel="0" collapsed="false">
      <c r="A17" s="14" t="s">
        <v>58</v>
      </c>
      <c r="B17" s="17" t="n">
        <v>-0.532947312465377</v>
      </c>
      <c r="C17" s="20" t="n">
        <v>2.88703520823376E-006</v>
      </c>
      <c r="D17" s="17" t="n">
        <v>18.7092957615508</v>
      </c>
      <c r="E17" s="20" t="n">
        <v>0.000313966224657569</v>
      </c>
    </row>
    <row r="18" customFormat="false" ht="15" hidden="false" customHeight="false" outlineLevel="0" collapsed="false">
      <c r="A18" s="14" t="s">
        <v>7</v>
      </c>
      <c r="B18" s="17" t="n">
        <v>-0.459005789683338</v>
      </c>
      <c r="C18" s="20" t="n">
        <v>8.2526082773653E-005</v>
      </c>
      <c r="D18" s="17" t="n">
        <v>12.2861046065199</v>
      </c>
      <c r="E18" s="20" t="n">
        <v>0.00646466866875026</v>
      </c>
    </row>
    <row r="19" customFormat="false" ht="15" hidden="false" customHeight="false" outlineLevel="0" collapsed="false">
      <c r="A19" s="14" t="s">
        <v>8</v>
      </c>
      <c r="B19" s="17" t="n">
        <v>-0.194008100000345</v>
      </c>
      <c r="C19" s="20" t="n">
        <v>0.112904097902832</v>
      </c>
      <c r="D19" s="17" t="n">
        <v>11.5531993513991</v>
      </c>
      <c r="E19" s="20" t="n">
        <v>0.00908148479655325</v>
      </c>
    </row>
    <row r="20" customFormat="false" ht="15" hidden="false" customHeight="false" outlineLevel="0" collapsed="false">
      <c r="A20" s="14" t="s">
        <v>9</v>
      </c>
      <c r="B20" s="17" t="n">
        <v>-0.489751548269887</v>
      </c>
      <c r="C20" s="20" t="n">
        <v>2.2477883252981E-005</v>
      </c>
      <c r="D20" s="17" t="n">
        <v>17.8226443984645</v>
      </c>
      <c r="E20" s="20" t="n">
        <v>0.000478490848841255</v>
      </c>
    </row>
    <row r="21" customFormat="false" ht="15" hidden="false" customHeight="false" outlineLevel="0" collapsed="false">
      <c r="A21" s="14" t="s">
        <v>10</v>
      </c>
      <c r="B21" s="17" t="n">
        <v>-0.0455252276410871</v>
      </c>
      <c r="C21" s="20" t="n">
        <v>0.712394716364448</v>
      </c>
      <c r="D21" s="17" t="n">
        <v>2.27678071455062</v>
      </c>
      <c r="E21" s="20" t="n">
        <v>0.516983693987162</v>
      </c>
    </row>
    <row r="22" customFormat="false" ht="15" hidden="false" customHeight="false" outlineLevel="0" collapsed="false">
      <c r="A22" s="14" t="s">
        <v>59</v>
      </c>
      <c r="B22" s="17" t="n">
        <v>0.0993553899961528</v>
      </c>
      <c r="C22" s="20" t="n">
        <v>0.420177619502418</v>
      </c>
      <c r="D22" s="17" t="n">
        <v>6.92174254686511</v>
      </c>
      <c r="E22" s="20" t="n">
        <v>0.0744343769944893</v>
      </c>
    </row>
    <row r="25" customFormat="false" ht="15" hidden="false" customHeight="false" outlineLevel="0" collapsed="false">
      <c r="A25" s="8" t="s">
        <v>60</v>
      </c>
    </row>
    <row r="26" customFormat="false" ht="26.85" hidden="false" customHeight="false" outlineLevel="0" collapsed="false">
      <c r="A26" s="3" t="s">
        <v>38</v>
      </c>
      <c r="B26" s="3" t="s">
        <v>61</v>
      </c>
      <c r="C26" s="3" t="s">
        <v>62</v>
      </c>
      <c r="D26" s="3" t="s">
        <v>13</v>
      </c>
    </row>
    <row r="27" customFormat="false" ht="15" hidden="false" customHeight="false" outlineLevel="0" collapsed="false">
      <c r="A27" s="14" t="s">
        <v>47</v>
      </c>
      <c r="B27" s="14" t="n">
        <v>12</v>
      </c>
      <c r="C27" s="14" t="n">
        <v>287</v>
      </c>
      <c r="D27" s="17" t="n">
        <v>1.63209969528909</v>
      </c>
    </row>
    <row r="28" customFormat="false" ht="15" hidden="false" customHeight="false" outlineLevel="0" collapsed="false">
      <c r="A28" s="14" t="s">
        <v>48</v>
      </c>
      <c r="B28" s="14" t="n">
        <v>15</v>
      </c>
      <c r="C28" s="14" t="n">
        <v>276</v>
      </c>
      <c r="D28" s="17" t="n">
        <v>1.94217457963387</v>
      </c>
    </row>
    <row r="29" customFormat="false" ht="15" hidden="false" customHeight="false" outlineLevel="0" collapsed="false">
      <c r="A29" s="14" t="s">
        <v>49</v>
      </c>
      <c r="B29" s="14" t="n">
        <v>16</v>
      </c>
      <c r="C29" s="14" t="n">
        <v>137</v>
      </c>
      <c r="D29" s="17" t="n">
        <v>2.38481315338312</v>
      </c>
    </row>
    <row r="30" customFormat="false" ht="15" hidden="false" customHeight="false" outlineLevel="0" collapsed="false">
      <c r="A30" s="14" t="s">
        <v>50</v>
      </c>
      <c r="B30" s="14" t="n">
        <v>12</v>
      </c>
      <c r="C30" s="14" t="n">
        <v>379</v>
      </c>
      <c r="D30" s="17" t="n">
        <v>1.71732445333227</v>
      </c>
    </row>
    <row r="33" customFormat="false" ht="15" hidden="false" customHeight="false" outlineLevel="0" collapsed="false">
      <c r="A33" s="8" t="s">
        <v>63</v>
      </c>
    </row>
    <row r="34" customFormat="false" ht="15" hidden="false" customHeight="false" outlineLevel="0" collapsed="false">
      <c r="A34" s="3" t="s">
        <v>64</v>
      </c>
      <c r="B34" s="3" t="s">
        <v>47</v>
      </c>
      <c r="C34" s="3" t="s">
        <v>48</v>
      </c>
      <c r="D34" s="3" t="s">
        <v>49</v>
      </c>
      <c r="E34" s="3" t="s">
        <v>50</v>
      </c>
    </row>
    <row r="35" customFormat="false" ht="15" hidden="false" customHeight="false" outlineLevel="0" collapsed="false">
      <c r="A35" s="14" t="s">
        <v>65</v>
      </c>
      <c r="B35" s="16" t="n">
        <v>10.5</v>
      </c>
      <c r="C35" s="16" t="n">
        <v>5.5</v>
      </c>
      <c r="D35" s="16" t="n">
        <v>0.925925925925926</v>
      </c>
      <c r="E35" s="16" t="n">
        <v>2.05882352941176</v>
      </c>
    </row>
    <row r="36" customFormat="false" ht="15" hidden="false" customHeight="false" outlineLevel="0" collapsed="false">
      <c r="A36" s="14" t="s">
        <v>66</v>
      </c>
      <c r="B36" s="16" t="n">
        <v>0</v>
      </c>
      <c r="C36" s="16" t="n">
        <v>4.64285714285714</v>
      </c>
      <c r="D36" s="16" t="n">
        <v>0.296296296296296</v>
      </c>
      <c r="E36" s="16" t="n">
        <v>6</v>
      </c>
    </row>
    <row r="37" customFormat="false" ht="15" hidden="false" customHeight="false" outlineLevel="0" collapsed="false">
      <c r="A37" s="14" t="s">
        <v>67</v>
      </c>
      <c r="B37" s="16" t="n">
        <v>0.2</v>
      </c>
      <c r="C37" s="16" t="n">
        <v>0.714285714285714</v>
      </c>
      <c r="D37" s="16" t="n">
        <v>0.777777777777778</v>
      </c>
      <c r="E37" s="16" t="n">
        <v>8.17647058823529</v>
      </c>
    </row>
    <row r="38" customFormat="false" ht="15" hidden="false" customHeight="false" outlineLevel="0" collapsed="false">
      <c r="A38" s="14" t="s">
        <v>68</v>
      </c>
      <c r="B38" s="16" t="n">
        <v>0</v>
      </c>
      <c r="C38" s="16" t="n">
        <v>4.14285714285714</v>
      </c>
      <c r="D38" s="16" t="n">
        <v>0.925925925925926</v>
      </c>
      <c r="E38" s="16" t="n">
        <v>2.11764705882353</v>
      </c>
    </row>
    <row r="39" customFormat="false" ht="15" hidden="false" customHeight="false" outlineLevel="0" collapsed="false">
      <c r="A39" s="14" t="s">
        <v>69</v>
      </c>
      <c r="B39" s="16" t="n">
        <v>6.5</v>
      </c>
      <c r="C39" s="16" t="n">
        <v>0.428571428571429</v>
      </c>
      <c r="D39" s="16" t="n">
        <v>0.148148148148148</v>
      </c>
      <c r="E39" s="16" t="n">
        <v>0</v>
      </c>
    </row>
    <row r="40" customFormat="false" ht="15" hidden="false" customHeight="false" outlineLevel="0" collapsed="false">
      <c r="A40" s="14" t="s">
        <v>70</v>
      </c>
      <c r="B40" s="16" t="n">
        <v>4.1</v>
      </c>
      <c r="C40" s="16" t="n">
        <v>1.64285714285714</v>
      </c>
      <c r="D40" s="16" t="n">
        <v>0.111111111111111</v>
      </c>
      <c r="E40" s="16" t="n">
        <v>0.294117647058824</v>
      </c>
    </row>
    <row r="41" customFormat="false" ht="15" hidden="false" customHeight="false" outlineLevel="0" collapsed="false">
      <c r="A41" s="14" t="s">
        <v>71</v>
      </c>
      <c r="B41" s="16" t="n">
        <v>1.2</v>
      </c>
      <c r="C41" s="16" t="n">
        <v>0.714285714285714</v>
      </c>
      <c r="D41" s="16" t="n">
        <v>0.185185185185185</v>
      </c>
      <c r="E41" s="16" t="n">
        <v>2.35294117647059</v>
      </c>
    </row>
    <row r="42" customFormat="false" ht="15" hidden="false" customHeight="false" outlineLevel="0" collapsed="false">
      <c r="A42" s="14" t="s">
        <v>72</v>
      </c>
      <c r="B42" s="16" t="n">
        <v>5.2</v>
      </c>
      <c r="C42" s="16" t="n">
        <v>0</v>
      </c>
      <c r="D42" s="16" t="n">
        <v>0.0740740740740741</v>
      </c>
      <c r="E42" s="16" t="n">
        <v>0</v>
      </c>
    </row>
    <row r="44" customFormat="false" ht="15" hidden="false" customHeight="false" outlineLevel="0" collapsed="false">
      <c r="A44" s="4" t="s">
        <v>28</v>
      </c>
    </row>
    <row r="45" customFormat="false" ht="15" hidden="false" customHeight="false" outlineLevel="0" collapsed="false">
      <c r="A45" s="14" t="s">
        <v>73</v>
      </c>
    </row>
    <row r="46" customFormat="false" ht="15" hidden="false" customHeight="false" outlineLevel="0" collapsed="false">
      <c r="A46" s="14" t="s">
        <v>74</v>
      </c>
    </row>
    <row r="47" customFormat="false" ht="15" hidden="false" customHeight="false" outlineLevel="0" collapsed="false">
      <c r="A47" s="1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3" t="s">
        <v>76</v>
      </c>
      <c r="B1" s="3" t="s">
        <v>77</v>
      </c>
      <c r="C1" s="3" t="s">
        <v>64</v>
      </c>
      <c r="D1" s="3" t="s">
        <v>78</v>
      </c>
      <c r="E1" s="3" t="s">
        <v>79</v>
      </c>
      <c r="F1" s="3" t="s">
        <v>80</v>
      </c>
    </row>
    <row r="2" customFormat="false" ht="15" hidden="false" customHeight="false" outlineLevel="0" collapsed="false">
      <c r="A2" s="14" t="s">
        <v>3</v>
      </c>
      <c r="B2" s="14" t="s">
        <v>81</v>
      </c>
      <c r="C2" s="14" t="s">
        <v>72</v>
      </c>
      <c r="D2" s="14" t="n">
        <v>6</v>
      </c>
      <c r="E2" s="14" t="s">
        <v>82</v>
      </c>
      <c r="F2" s="14" t="n">
        <v>2</v>
      </c>
    </row>
    <row r="3" customFormat="false" ht="15" hidden="false" customHeight="false" outlineLevel="0" collapsed="false">
      <c r="A3" s="14" t="s">
        <v>3</v>
      </c>
      <c r="B3" s="14" t="s">
        <v>81</v>
      </c>
      <c r="C3" s="14" t="s">
        <v>65</v>
      </c>
      <c r="D3" s="14" t="n">
        <v>11</v>
      </c>
      <c r="E3" s="14" t="s">
        <v>82</v>
      </c>
      <c r="F3" s="14" t="n">
        <v>2</v>
      </c>
    </row>
    <row r="4" customFormat="false" ht="15" hidden="false" customHeight="false" outlineLevel="0" collapsed="false">
      <c r="A4" s="14" t="s">
        <v>3</v>
      </c>
      <c r="B4" s="14" t="s">
        <v>81</v>
      </c>
      <c r="C4" s="14" t="s">
        <v>71</v>
      </c>
      <c r="D4" s="14" t="n">
        <v>2</v>
      </c>
      <c r="E4" s="14" t="s">
        <v>83</v>
      </c>
      <c r="F4" s="14" t="n">
        <v>2</v>
      </c>
    </row>
    <row r="5" customFormat="false" ht="15" hidden="false" customHeight="false" outlineLevel="0" collapsed="false">
      <c r="A5" s="14" t="s">
        <v>3</v>
      </c>
      <c r="B5" s="14" t="s">
        <v>81</v>
      </c>
      <c r="C5" s="14" t="s">
        <v>70</v>
      </c>
      <c r="D5" s="14" t="n">
        <v>4</v>
      </c>
      <c r="E5" s="14" t="s">
        <v>82</v>
      </c>
      <c r="F5" s="14" t="n">
        <v>2</v>
      </c>
    </row>
    <row r="6" customFormat="false" ht="15" hidden="false" customHeight="false" outlineLevel="0" collapsed="false">
      <c r="A6" s="14" t="s">
        <v>3</v>
      </c>
      <c r="B6" s="14" t="s">
        <v>84</v>
      </c>
      <c r="C6" s="14" t="s">
        <v>70</v>
      </c>
      <c r="D6" s="14" t="n">
        <v>1</v>
      </c>
      <c r="E6" s="14" t="s">
        <v>83</v>
      </c>
      <c r="F6" s="14" t="n">
        <v>3</v>
      </c>
    </row>
    <row r="7" customFormat="false" ht="15" hidden="false" customHeight="false" outlineLevel="0" collapsed="false">
      <c r="A7" s="14" t="s">
        <v>3</v>
      </c>
      <c r="B7" s="14" t="s">
        <v>84</v>
      </c>
      <c r="C7" s="14" t="s">
        <v>70</v>
      </c>
      <c r="D7" s="14" t="n">
        <v>5</v>
      </c>
      <c r="E7" s="14" t="s">
        <v>82</v>
      </c>
      <c r="F7" s="14" t="n">
        <v>1</v>
      </c>
    </row>
    <row r="8" customFormat="false" ht="15" hidden="false" customHeight="false" outlineLevel="0" collapsed="false">
      <c r="A8" s="14" t="s">
        <v>3</v>
      </c>
      <c r="B8" s="14" t="s">
        <v>84</v>
      </c>
      <c r="C8" s="14" t="s">
        <v>65</v>
      </c>
      <c r="D8" s="14" t="n">
        <v>24</v>
      </c>
      <c r="E8" s="14" t="s">
        <v>82</v>
      </c>
      <c r="F8" s="14" t="n">
        <v>1</v>
      </c>
    </row>
    <row r="9" customFormat="false" ht="15" hidden="false" customHeight="false" outlineLevel="0" collapsed="false">
      <c r="A9" s="14" t="s">
        <v>3</v>
      </c>
      <c r="B9" s="14" t="s">
        <v>84</v>
      </c>
      <c r="C9" s="14" t="s">
        <v>72</v>
      </c>
      <c r="D9" s="14" t="n">
        <v>4</v>
      </c>
      <c r="E9" s="14" t="s">
        <v>82</v>
      </c>
      <c r="F9" s="14" t="n">
        <v>1</v>
      </c>
    </row>
    <row r="10" customFormat="false" ht="15" hidden="false" customHeight="false" outlineLevel="0" collapsed="false">
      <c r="A10" s="14" t="s">
        <v>3</v>
      </c>
      <c r="B10" s="14" t="s">
        <v>84</v>
      </c>
      <c r="C10" s="14" t="s">
        <v>72</v>
      </c>
      <c r="D10" s="14" t="n">
        <v>2</v>
      </c>
      <c r="E10" s="14" t="s">
        <v>85</v>
      </c>
      <c r="F10" s="14" t="n">
        <v>1</v>
      </c>
    </row>
    <row r="11" customFormat="false" ht="15" hidden="false" customHeight="false" outlineLevel="0" collapsed="false">
      <c r="A11" s="14" t="s">
        <v>3</v>
      </c>
      <c r="B11" s="14" t="s">
        <v>86</v>
      </c>
      <c r="C11" s="14" t="s">
        <v>70</v>
      </c>
      <c r="D11" s="14" t="n">
        <v>1</v>
      </c>
      <c r="E11" s="14" t="s">
        <v>83</v>
      </c>
      <c r="F11" s="14" t="n">
        <v>3</v>
      </c>
    </row>
    <row r="12" customFormat="false" ht="15" hidden="false" customHeight="false" outlineLevel="0" collapsed="false">
      <c r="A12" s="14" t="s">
        <v>3</v>
      </c>
      <c r="B12" s="14" t="s">
        <v>86</v>
      </c>
      <c r="C12" s="14" t="s">
        <v>65</v>
      </c>
      <c r="D12" s="14" t="n">
        <v>20</v>
      </c>
      <c r="E12" s="14" t="s">
        <v>82</v>
      </c>
      <c r="F12" s="14" t="n">
        <v>4</v>
      </c>
    </row>
    <row r="13" customFormat="false" ht="15" hidden="false" customHeight="false" outlineLevel="0" collapsed="false">
      <c r="A13" s="14" t="s">
        <v>3</v>
      </c>
      <c r="B13" s="14" t="s">
        <v>86</v>
      </c>
      <c r="C13" s="14" t="s">
        <v>71</v>
      </c>
      <c r="D13" s="14" t="n">
        <v>4</v>
      </c>
      <c r="E13" s="14" t="s">
        <v>83</v>
      </c>
      <c r="F13" s="14" t="n">
        <v>4</v>
      </c>
    </row>
    <row r="14" customFormat="false" ht="15" hidden="false" customHeight="false" outlineLevel="0" collapsed="false">
      <c r="A14" s="14" t="s">
        <v>3</v>
      </c>
      <c r="B14" s="14" t="s">
        <v>86</v>
      </c>
      <c r="C14" s="14" t="s">
        <v>70</v>
      </c>
      <c r="D14" s="14" t="n">
        <v>5</v>
      </c>
      <c r="E14" s="14" t="s">
        <v>82</v>
      </c>
      <c r="F14" s="14" t="n">
        <v>4</v>
      </c>
    </row>
    <row r="15" customFormat="false" ht="15" hidden="false" customHeight="false" outlineLevel="0" collapsed="false">
      <c r="A15" s="14" t="s">
        <v>3</v>
      </c>
      <c r="B15" s="14" t="s">
        <v>86</v>
      </c>
      <c r="C15" s="14" t="s">
        <v>72</v>
      </c>
      <c r="D15" s="14" t="n">
        <v>3</v>
      </c>
      <c r="E15" s="14" t="s">
        <v>82</v>
      </c>
      <c r="F15" s="14" t="n">
        <v>4</v>
      </c>
    </row>
    <row r="16" customFormat="false" ht="15" hidden="false" customHeight="false" outlineLevel="0" collapsed="false">
      <c r="A16" s="14" t="s">
        <v>3</v>
      </c>
      <c r="B16" s="14" t="s">
        <v>87</v>
      </c>
      <c r="C16" s="14" t="s">
        <v>70</v>
      </c>
      <c r="D16" s="14" t="n">
        <v>18</v>
      </c>
      <c r="E16" s="14" t="s">
        <v>85</v>
      </c>
      <c r="F16" s="14" t="n">
        <v>1</v>
      </c>
    </row>
    <row r="17" customFormat="false" ht="15" hidden="false" customHeight="false" outlineLevel="0" collapsed="false">
      <c r="A17" s="14" t="s">
        <v>3</v>
      </c>
      <c r="B17" s="14" t="s">
        <v>87</v>
      </c>
      <c r="C17" s="14" t="s">
        <v>72</v>
      </c>
      <c r="D17" s="14" t="n">
        <v>4</v>
      </c>
      <c r="E17" s="14" t="s">
        <v>82</v>
      </c>
      <c r="F17" s="14" t="n">
        <v>1</v>
      </c>
    </row>
    <row r="18" customFormat="false" ht="15" hidden="false" customHeight="false" outlineLevel="0" collapsed="false">
      <c r="A18" s="14" t="s">
        <v>3</v>
      </c>
      <c r="B18" s="14" t="s">
        <v>87</v>
      </c>
      <c r="C18" s="14" t="s">
        <v>65</v>
      </c>
      <c r="D18" s="14" t="n">
        <v>5</v>
      </c>
      <c r="E18" s="14" t="s">
        <v>82</v>
      </c>
      <c r="F18" s="14" t="n">
        <v>1</v>
      </c>
    </row>
    <row r="19" customFormat="false" ht="15" hidden="false" customHeight="false" outlineLevel="0" collapsed="false">
      <c r="A19" s="14" t="s">
        <v>3</v>
      </c>
      <c r="B19" s="14" t="s">
        <v>87</v>
      </c>
      <c r="C19" s="14" t="s">
        <v>70</v>
      </c>
      <c r="D19" s="14" t="n">
        <v>1</v>
      </c>
      <c r="E19" s="14" t="s">
        <v>82</v>
      </c>
      <c r="F19" s="14" t="n">
        <v>1</v>
      </c>
    </row>
    <row r="20" customFormat="false" ht="15" hidden="false" customHeight="false" outlineLevel="0" collapsed="false">
      <c r="A20" s="14" t="s">
        <v>3</v>
      </c>
      <c r="B20" s="14" t="s">
        <v>87</v>
      </c>
      <c r="C20" s="14" t="s">
        <v>70</v>
      </c>
      <c r="D20" s="14" t="n">
        <v>4</v>
      </c>
      <c r="E20" s="14" t="s">
        <v>82</v>
      </c>
      <c r="F20" s="14" t="n">
        <v>1</v>
      </c>
    </row>
    <row r="21" customFormat="false" ht="15" hidden="false" customHeight="false" outlineLevel="0" collapsed="false">
      <c r="A21" s="14" t="s">
        <v>3</v>
      </c>
      <c r="B21" s="14" t="s">
        <v>88</v>
      </c>
      <c r="C21" s="14" t="s">
        <v>89</v>
      </c>
      <c r="D21" s="14" t="n">
        <v>8</v>
      </c>
      <c r="E21" s="14" t="s">
        <v>83</v>
      </c>
      <c r="F21" s="14" t="n">
        <v>0</v>
      </c>
    </row>
    <row r="22" customFormat="false" ht="15" hidden="false" customHeight="false" outlineLevel="0" collapsed="false">
      <c r="A22" s="14" t="s">
        <v>3</v>
      </c>
      <c r="B22" s="14" t="s">
        <v>88</v>
      </c>
      <c r="C22" s="14" t="s">
        <v>89</v>
      </c>
      <c r="D22" s="14" t="n">
        <v>3</v>
      </c>
      <c r="E22" s="14" t="s">
        <v>83</v>
      </c>
      <c r="F22" s="14" t="n">
        <v>0</v>
      </c>
    </row>
    <row r="23" customFormat="false" ht="15" hidden="false" customHeight="false" outlineLevel="0" collapsed="false">
      <c r="A23" s="14" t="s">
        <v>3</v>
      </c>
      <c r="B23" s="14" t="s">
        <v>88</v>
      </c>
      <c r="C23" s="14" t="s">
        <v>70</v>
      </c>
      <c r="D23" s="14" t="n">
        <v>3</v>
      </c>
      <c r="E23" s="14" t="s">
        <v>83</v>
      </c>
      <c r="F23" s="14" t="n">
        <v>4</v>
      </c>
    </row>
    <row r="24" customFormat="false" ht="15" hidden="false" customHeight="false" outlineLevel="0" collapsed="false">
      <c r="A24" s="14" t="s">
        <v>3</v>
      </c>
      <c r="B24" s="14" t="s">
        <v>88</v>
      </c>
      <c r="C24" s="14" t="s">
        <v>71</v>
      </c>
      <c r="D24" s="14" t="n">
        <v>1</v>
      </c>
      <c r="E24" s="14" t="s">
        <v>90</v>
      </c>
      <c r="F24" s="14" t="n">
        <v>6</v>
      </c>
    </row>
    <row r="25" customFormat="false" ht="15" hidden="false" customHeight="false" outlineLevel="0" collapsed="false">
      <c r="A25" s="14" t="s">
        <v>3</v>
      </c>
      <c r="B25" s="14" t="s">
        <v>88</v>
      </c>
      <c r="C25" s="14" t="s">
        <v>65</v>
      </c>
      <c r="D25" s="14" t="n">
        <v>17</v>
      </c>
      <c r="E25" s="14" t="s">
        <v>82</v>
      </c>
      <c r="F25" s="14" t="n">
        <v>6</v>
      </c>
    </row>
    <row r="26" customFormat="false" ht="15" hidden="false" customHeight="false" outlineLevel="0" collapsed="false">
      <c r="A26" s="14" t="s">
        <v>3</v>
      </c>
      <c r="B26" s="14" t="s">
        <v>88</v>
      </c>
      <c r="C26" s="14" t="s">
        <v>65</v>
      </c>
      <c r="D26" s="14" t="n">
        <v>9</v>
      </c>
      <c r="E26" s="14" t="s">
        <v>82</v>
      </c>
      <c r="F26" s="14" t="n">
        <v>6</v>
      </c>
    </row>
    <row r="27" customFormat="false" ht="15" hidden="false" customHeight="false" outlineLevel="0" collapsed="false">
      <c r="A27" s="14" t="s">
        <v>3</v>
      </c>
      <c r="B27" s="14" t="s">
        <v>88</v>
      </c>
      <c r="C27" s="14" t="s">
        <v>68</v>
      </c>
      <c r="D27" s="14" t="n">
        <v>3</v>
      </c>
      <c r="E27" s="14" t="s">
        <v>82</v>
      </c>
      <c r="F27" s="14" t="n">
        <v>0</v>
      </c>
    </row>
    <row r="28" customFormat="false" ht="15" hidden="false" customHeight="false" outlineLevel="0" collapsed="false">
      <c r="A28" s="14" t="s">
        <v>3</v>
      </c>
      <c r="B28" s="14" t="s">
        <v>91</v>
      </c>
      <c r="C28" s="14" t="s">
        <v>68</v>
      </c>
      <c r="D28" s="14" t="n">
        <v>18</v>
      </c>
      <c r="E28" s="14" t="s">
        <v>82</v>
      </c>
      <c r="F28" s="14" t="n">
        <v>2</v>
      </c>
    </row>
    <row r="29" customFormat="false" ht="15" hidden="false" customHeight="false" outlineLevel="0" collapsed="false">
      <c r="A29" s="14" t="s">
        <v>3</v>
      </c>
      <c r="B29" s="14" t="s">
        <v>91</v>
      </c>
      <c r="C29" s="14" t="s">
        <v>71</v>
      </c>
      <c r="D29" s="14" t="n">
        <v>1</v>
      </c>
      <c r="E29" s="14" t="s">
        <v>90</v>
      </c>
      <c r="F29" s="14" t="n">
        <v>6</v>
      </c>
    </row>
    <row r="30" customFormat="false" ht="15" hidden="false" customHeight="false" outlineLevel="0" collapsed="false">
      <c r="A30" s="14" t="s">
        <v>3</v>
      </c>
      <c r="B30" s="14" t="s">
        <v>91</v>
      </c>
      <c r="C30" s="14" t="s">
        <v>89</v>
      </c>
      <c r="D30" s="14" t="n">
        <v>1</v>
      </c>
      <c r="E30" s="14" t="s">
        <v>82</v>
      </c>
      <c r="F30" s="14" t="n">
        <v>2</v>
      </c>
    </row>
    <row r="31" customFormat="false" ht="15" hidden="false" customHeight="false" outlineLevel="0" collapsed="false">
      <c r="A31" s="14" t="s">
        <v>3</v>
      </c>
      <c r="B31" s="14" t="s">
        <v>92</v>
      </c>
      <c r="C31" s="14" t="s">
        <v>69</v>
      </c>
      <c r="D31" s="14" t="n">
        <v>6</v>
      </c>
      <c r="E31" s="14" t="s">
        <v>90</v>
      </c>
      <c r="F31" s="14" t="n">
        <v>6</v>
      </c>
    </row>
    <row r="32" customFormat="false" ht="15" hidden="false" customHeight="false" outlineLevel="0" collapsed="false">
      <c r="A32" s="14" t="s">
        <v>3</v>
      </c>
      <c r="B32" s="14" t="s">
        <v>92</v>
      </c>
      <c r="C32" s="14" t="s">
        <v>71</v>
      </c>
      <c r="D32" s="14" t="n">
        <v>1</v>
      </c>
      <c r="E32" s="14" t="s">
        <v>83</v>
      </c>
      <c r="F32" s="14" t="n">
        <v>6</v>
      </c>
    </row>
    <row r="33" customFormat="false" ht="15" hidden="false" customHeight="false" outlineLevel="0" collapsed="false">
      <c r="A33" s="14" t="s">
        <v>3</v>
      </c>
      <c r="B33" s="14" t="s">
        <v>92</v>
      </c>
      <c r="C33" s="14" t="s">
        <v>65</v>
      </c>
      <c r="D33" s="14" t="n">
        <v>22</v>
      </c>
      <c r="E33" s="14" t="s">
        <v>90</v>
      </c>
      <c r="F33" s="14" t="n">
        <v>6</v>
      </c>
    </row>
    <row r="34" customFormat="false" ht="15" hidden="false" customHeight="false" outlineLevel="0" collapsed="false">
      <c r="A34" s="14" t="s">
        <v>3</v>
      </c>
      <c r="B34" s="14" t="s">
        <v>91</v>
      </c>
      <c r="C34" s="14" t="s">
        <v>71</v>
      </c>
      <c r="D34" s="14" t="n">
        <v>3</v>
      </c>
      <c r="E34" s="14" t="s">
        <v>83</v>
      </c>
      <c r="F34" s="14" t="n">
        <v>2</v>
      </c>
    </row>
    <row r="35" customFormat="false" ht="15" hidden="false" customHeight="false" outlineLevel="0" collapsed="false">
      <c r="A35" s="14" t="s">
        <v>3</v>
      </c>
      <c r="B35" s="14" t="s">
        <v>91</v>
      </c>
      <c r="C35" s="14" t="s">
        <v>70</v>
      </c>
      <c r="D35" s="14" t="n">
        <v>1</v>
      </c>
      <c r="E35" s="14" t="s">
        <v>85</v>
      </c>
      <c r="F35" s="14" t="n">
        <v>2</v>
      </c>
    </row>
    <row r="36" customFormat="false" ht="15" hidden="false" customHeight="false" outlineLevel="0" collapsed="false">
      <c r="A36" s="14" t="s">
        <v>3</v>
      </c>
      <c r="B36" s="14" t="s">
        <v>91</v>
      </c>
      <c r="C36" s="14" t="s">
        <v>93</v>
      </c>
      <c r="D36" s="14" t="n">
        <v>1</v>
      </c>
      <c r="E36" s="14" t="s">
        <v>83</v>
      </c>
      <c r="F36" s="14" t="n">
        <v>4</v>
      </c>
    </row>
    <row r="37" customFormat="false" ht="15" hidden="false" customHeight="false" outlineLevel="0" collapsed="false">
      <c r="A37" s="14" t="s">
        <v>3</v>
      </c>
      <c r="B37" s="14" t="s">
        <v>91</v>
      </c>
      <c r="C37" s="14" t="s">
        <v>67</v>
      </c>
      <c r="D37" s="14" t="n">
        <v>1</v>
      </c>
      <c r="E37" s="14" t="s">
        <v>82</v>
      </c>
      <c r="F37" s="14" t="n">
        <v>2</v>
      </c>
    </row>
    <row r="38" customFormat="false" ht="15" hidden="false" customHeight="false" outlineLevel="0" collapsed="false">
      <c r="A38" s="14" t="s">
        <v>3</v>
      </c>
      <c r="B38" s="14" t="s">
        <v>94</v>
      </c>
      <c r="C38" s="14" t="s">
        <v>70</v>
      </c>
      <c r="D38" s="14" t="n">
        <v>1</v>
      </c>
      <c r="E38" s="14" t="s">
        <v>83</v>
      </c>
      <c r="F38" s="14" t="n">
        <v>4</v>
      </c>
    </row>
    <row r="39" customFormat="false" ht="15" hidden="false" customHeight="false" outlineLevel="0" collapsed="false">
      <c r="A39" s="14" t="s">
        <v>3</v>
      </c>
      <c r="B39" s="14" t="s">
        <v>94</v>
      </c>
      <c r="C39" s="14" t="s">
        <v>65</v>
      </c>
      <c r="D39" s="14" t="n">
        <v>1</v>
      </c>
      <c r="E39" s="14" t="s">
        <v>85</v>
      </c>
      <c r="F39" s="14" t="n">
        <v>0</v>
      </c>
    </row>
    <row r="40" customFormat="false" ht="15" hidden="false" customHeight="false" outlineLevel="0" collapsed="false">
      <c r="A40" s="14" t="s">
        <v>3</v>
      </c>
      <c r="B40" s="14" t="s">
        <v>94</v>
      </c>
      <c r="C40" s="14" t="s">
        <v>95</v>
      </c>
      <c r="D40" s="14" t="n">
        <v>1</v>
      </c>
      <c r="E40" s="14" t="s">
        <v>85</v>
      </c>
      <c r="F40" s="14" t="n">
        <v>0</v>
      </c>
    </row>
    <row r="41" customFormat="false" ht="15" hidden="false" customHeight="false" outlineLevel="0" collapsed="false">
      <c r="A41" s="14" t="s">
        <v>3</v>
      </c>
      <c r="B41" s="14" t="s">
        <v>94</v>
      </c>
      <c r="C41" s="14" t="s">
        <v>68</v>
      </c>
      <c r="D41" s="14" t="n">
        <v>12</v>
      </c>
      <c r="E41" s="14" t="s">
        <v>83</v>
      </c>
      <c r="F41" s="14" t="n">
        <v>0</v>
      </c>
    </row>
    <row r="42" customFormat="false" ht="15" hidden="false" customHeight="false" outlineLevel="0" collapsed="false">
      <c r="A42" s="14" t="s">
        <v>3</v>
      </c>
      <c r="B42" s="14" t="s">
        <v>96</v>
      </c>
      <c r="C42" s="14" t="s">
        <v>70</v>
      </c>
      <c r="D42" s="14" t="n">
        <v>1</v>
      </c>
      <c r="E42" s="14" t="s">
        <v>83</v>
      </c>
      <c r="F42" s="14" t="n">
        <v>6</v>
      </c>
    </row>
    <row r="43" customFormat="false" ht="15" hidden="false" customHeight="false" outlineLevel="0" collapsed="false">
      <c r="A43" s="14" t="s">
        <v>3</v>
      </c>
      <c r="B43" s="14" t="s">
        <v>96</v>
      </c>
      <c r="C43" s="14" t="s">
        <v>65</v>
      </c>
      <c r="D43" s="14" t="n">
        <v>3</v>
      </c>
      <c r="E43" s="14" t="s">
        <v>90</v>
      </c>
      <c r="F43" s="14" t="n">
        <v>4</v>
      </c>
    </row>
    <row r="44" customFormat="false" ht="15" hidden="false" customHeight="false" outlineLevel="0" collapsed="false">
      <c r="A44" s="14" t="s">
        <v>3</v>
      </c>
      <c r="B44" s="14" t="s">
        <v>96</v>
      </c>
      <c r="C44" s="14" t="s">
        <v>65</v>
      </c>
      <c r="D44" s="14" t="n">
        <v>1</v>
      </c>
      <c r="E44" s="14" t="s">
        <v>85</v>
      </c>
      <c r="F44" s="14" t="n">
        <v>4</v>
      </c>
    </row>
    <row r="45" customFormat="false" ht="15" hidden="false" customHeight="false" outlineLevel="0" collapsed="false">
      <c r="A45" s="14" t="s">
        <v>3</v>
      </c>
      <c r="B45" s="14" t="s">
        <v>97</v>
      </c>
      <c r="C45" s="14" t="s">
        <v>70</v>
      </c>
      <c r="D45" s="14" t="n">
        <v>1</v>
      </c>
      <c r="E45" s="14" t="s">
        <v>83</v>
      </c>
      <c r="F45" s="14" t="n">
        <v>6</v>
      </c>
    </row>
    <row r="46" customFormat="false" ht="15" hidden="false" customHeight="false" outlineLevel="0" collapsed="false">
      <c r="A46" s="14" t="s">
        <v>3</v>
      </c>
      <c r="B46" s="14" t="s">
        <v>97</v>
      </c>
      <c r="C46" s="14" t="s">
        <v>98</v>
      </c>
      <c r="D46" s="14" t="n">
        <v>2</v>
      </c>
      <c r="E46" s="14" t="s">
        <v>90</v>
      </c>
      <c r="F46" s="14" t="n">
        <v>6</v>
      </c>
    </row>
    <row r="47" customFormat="false" ht="15" hidden="false" customHeight="false" outlineLevel="0" collapsed="false">
      <c r="A47" s="14" t="s">
        <v>3</v>
      </c>
      <c r="B47" s="14" t="s">
        <v>97</v>
      </c>
      <c r="C47" s="14" t="s">
        <v>70</v>
      </c>
      <c r="D47" s="14" t="n">
        <v>1</v>
      </c>
      <c r="E47" s="14" t="s">
        <v>90</v>
      </c>
      <c r="F47" s="14" t="n">
        <v>6</v>
      </c>
    </row>
    <row r="48" customFormat="false" ht="15" hidden="false" customHeight="false" outlineLevel="0" collapsed="false">
      <c r="A48" s="14" t="s">
        <v>3</v>
      </c>
      <c r="B48" s="14" t="s">
        <v>99</v>
      </c>
      <c r="C48" s="14" t="s">
        <v>71</v>
      </c>
      <c r="D48" s="14" t="n">
        <v>1</v>
      </c>
      <c r="E48" s="14" t="s">
        <v>83</v>
      </c>
      <c r="F48" s="14" t="n">
        <v>6</v>
      </c>
    </row>
    <row r="49" customFormat="false" ht="15" hidden="false" customHeight="false" outlineLevel="0" collapsed="false">
      <c r="A49" s="14" t="s">
        <v>3</v>
      </c>
      <c r="B49" s="14" t="s">
        <v>100</v>
      </c>
      <c r="C49" s="14" t="s">
        <v>68</v>
      </c>
      <c r="D49" s="14" t="n">
        <v>1</v>
      </c>
      <c r="E49" s="14" t="s">
        <v>83</v>
      </c>
      <c r="F49" s="14" t="n">
        <v>5</v>
      </c>
    </row>
    <row r="50" customFormat="false" ht="15" hidden="false" customHeight="false" outlineLevel="0" collapsed="false">
      <c r="A50" s="14" t="s">
        <v>3</v>
      </c>
      <c r="B50" s="14" t="s">
        <v>100</v>
      </c>
      <c r="C50" s="14" t="s">
        <v>89</v>
      </c>
      <c r="D50" s="14" t="n">
        <v>3</v>
      </c>
      <c r="E50" s="14" t="s">
        <v>90</v>
      </c>
      <c r="F50" s="14" t="n">
        <v>5</v>
      </c>
    </row>
    <row r="51" customFormat="false" ht="15" hidden="false" customHeight="false" outlineLevel="0" collapsed="false">
      <c r="A51" s="14" t="s">
        <v>3</v>
      </c>
      <c r="B51" s="14" t="s">
        <v>101</v>
      </c>
      <c r="C51" s="14" t="s">
        <v>68</v>
      </c>
      <c r="D51" s="14" t="n">
        <v>6</v>
      </c>
      <c r="E51" s="14" t="s">
        <v>82</v>
      </c>
      <c r="F51" s="14" t="n">
        <v>6</v>
      </c>
    </row>
    <row r="52" customFormat="false" ht="15" hidden="false" customHeight="false" outlineLevel="0" collapsed="false">
      <c r="A52" s="14" t="s">
        <v>3</v>
      </c>
      <c r="B52" s="14" t="s">
        <v>102</v>
      </c>
      <c r="C52" s="14" t="s">
        <v>65</v>
      </c>
      <c r="D52" s="14" t="n">
        <v>1</v>
      </c>
      <c r="E52" s="14" t="s">
        <v>85</v>
      </c>
      <c r="F52" s="14" t="n">
        <v>0</v>
      </c>
    </row>
    <row r="53" customFormat="false" ht="15" hidden="false" customHeight="false" outlineLevel="0" collapsed="false">
      <c r="A53" s="14" t="s">
        <v>3</v>
      </c>
      <c r="B53" s="14" t="s">
        <v>103</v>
      </c>
      <c r="C53" s="14" t="s">
        <v>65</v>
      </c>
      <c r="D53" s="14" t="n">
        <v>3</v>
      </c>
      <c r="E53" s="14" t="s">
        <v>85</v>
      </c>
      <c r="F53" s="14" t="n">
        <v>1</v>
      </c>
    </row>
    <row r="54" customFormat="false" ht="15" hidden="false" customHeight="false" outlineLevel="0" collapsed="false">
      <c r="A54" s="14" t="s">
        <v>3</v>
      </c>
      <c r="B54" s="14" t="s">
        <v>103</v>
      </c>
      <c r="C54" s="14" t="s">
        <v>104</v>
      </c>
      <c r="D54" s="14" t="n">
        <v>1</v>
      </c>
      <c r="E54" s="14" t="s">
        <v>85</v>
      </c>
      <c r="F54" s="14" t="n">
        <v>1</v>
      </c>
    </row>
    <row r="55" customFormat="false" ht="15" hidden="false" customHeight="false" outlineLevel="0" collapsed="false">
      <c r="A55" s="14" t="s">
        <v>3</v>
      </c>
      <c r="B55" s="14" t="s">
        <v>103</v>
      </c>
      <c r="C55" s="14" t="s">
        <v>68</v>
      </c>
      <c r="D55" s="14" t="n">
        <v>1</v>
      </c>
      <c r="E55" s="14" t="s">
        <v>82</v>
      </c>
      <c r="F55" s="14" t="n">
        <v>1</v>
      </c>
    </row>
    <row r="56" customFormat="false" ht="15" hidden="false" customHeight="false" outlineLevel="0" collapsed="false">
      <c r="A56" s="14" t="s">
        <v>3</v>
      </c>
      <c r="B56" s="14" t="s">
        <v>105</v>
      </c>
      <c r="C56" s="14" t="s">
        <v>65</v>
      </c>
      <c r="D56" s="14" t="n">
        <v>1</v>
      </c>
      <c r="E56" s="14" t="s">
        <v>85</v>
      </c>
      <c r="F56" s="14" t="n">
        <v>1</v>
      </c>
    </row>
    <row r="57" customFormat="false" ht="15" hidden="false" customHeight="false" outlineLevel="0" collapsed="false">
      <c r="A57" s="14" t="s">
        <v>3</v>
      </c>
      <c r="B57" s="14" t="s">
        <v>106</v>
      </c>
      <c r="C57" s="14" t="s">
        <v>65</v>
      </c>
      <c r="D57" s="14" t="n">
        <v>1</v>
      </c>
      <c r="E57" s="14" t="s">
        <v>85</v>
      </c>
      <c r="F57" s="14" t="n">
        <v>3</v>
      </c>
    </row>
    <row r="58" customFormat="false" ht="15" hidden="false" customHeight="false" outlineLevel="0" collapsed="false">
      <c r="A58" s="14" t="s">
        <v>3</v>
      </c>
      <c r="B58" s="14" t="s">
        <v>107</v>
      </c>
      <c r="C58" s="14" t="s">
        <v>65</v>
      </c>
      <c r="D58" s="14" t="n">
        <v>18</v>
      </c>
      <c r="E58" s="14" t="s">
        <v>82</v>
      </c>
      <c r="F58" s="14" t="n">
        <v>1</v>
      </c>
    </row>
    <row r="59" customFormat="false" ht="15" hidden="false" customHeight="false" outlineLevel="0" collapsed="false">
      <c r="A59" s="14" t="s">
        <v>3</v>
      </c>
      <c r="B59" s="14" t="s">
        <v>108</v>
      </c>
      <c r="C59" s="14" t="s">
        <v>65</v>
      </c>
      <c r="D59" s="14" t="n">
        <v>16</v>
      </c>
      <c r="E59" s="14" t="s">
        <v>82</v>
      </c>
      <c r="F59" s="14" t="n">
        <v>2</v>
      </c>
    </row>
    <row r="60" customFormat="false" ht="15" hidden="false" customHeight="false" outlineLevel="0" collapsed="false">
      <c r="A60" s="14" t="s">
        <v>3</v>
      </c>
      <c r="B60" s="14" t="s">
        <v>108</v>
      </c>
      <c r="C60" s="14" t="s">
        <v>67</v>
      </c>
      <c r="D60" s="14" t="n">
        <v>16</v>
      </c>
      <c r="E60" s="14" t="s">
        <v>82</v>
      </c>
      <c r="F60" s="14" t="n">
        <v>2</v>
      </c>
    </row>
    <row r="61" customFormat="false" ht="15" hidden="false" customHeight="false" outlineLevel="0" collapsed="false">
      <c r="A61" s="14" t="s">
        <v>3</v>
      </c>
      <c r="B61" s="14" t="s">
        <v>108</v>
      </c>
      <c r="C61" s="14" t="s">
        <v>109</v>
      </c>
      <c r="D61" s="14" t="n">
        <v>4</v>
      </c>
      <c r="E61" s="14" t="s">
        <v>82</v>
      </c>
      <c r="F61" s="14" t="n">
        <v>2</v>
      </c>
    </row>
    <row r="62" customFormat="false" ht="15" hidden="false" customHeight="false" outlineLevel="0" collapsed="false">
      <c r="A62" s="14" t="s">
        <v>4</v>
      </c>
      <c r="B62" s="14" t="s">
        <v>84</v>
      </c>
      <c r="C62" s="14" t="s">
        <v>67</v>
      </c>
      <c r="D62" s="14" t="n">
        <v>1</v>
      </c>
      <c r="E62" s="14" t="s">
        <v>82</v>
      </c>
      <c r="F62" s="14" t="n">
        <v>0</v>
      </c>
    </row>
    <row r="63" customFormat="false" ht="15" hidden="false" customHeight="false" outlineLevel="0" collapsed="false">
      <c r="A63" s="14" t="s">
        <v>4</v>
      </c>
      <c r="B63" s="14" t="s">
        <v>84</v>
      </c>
      <c r="C63" s="14" t="s">
        <v>104</v>
      </c>
      <c r="D63" s="14" t="n">
        <v>1</v>
      </c>
      <c r="E63" s="14" t="s">
        <v>90</v>
      </c>
      <c r="F63" s="14" t="n">
        <v>0</v>
      </c>
    </row>
    <row r="64" customFormat="false" ht="15" hidden="false" customHeight="false" outlineLevel="0" collapsed="false">
      <c r="A64" s="14" t="s">
        <v>4</v>
      </c>
      <c r="B64" s="14" t="s">
        <v>84</v>
      </c>
      <c r="C64" s="14" t="s">
        <v>71</v>
      </c>
      <c r="D64" s="14" t="n">
        <v>2</v>
      </c>
      <c r="E64" s="14" t="s">
        <v>83</v>
      </c>
      <c r="F64" s="14" t="n">
        <v>0</v>
      </c>
    </row>
    <row r="65" customFormat="false" ht="15" hidden="false" customHeight="false" outlineLevel="0" collapsed="false">
      <c r="A65" s="14" t="s">
        <v>4</v>
      </c>
      <c r="B65" s="14" t="s">
        <v>84</v>
      </c>
      <c r="C65" s="14" t="s">
        <v>69</v>
      </c>
      <c r="D65" s="14" t="n">
        <v>21</v>
      </c>
      <c r="E65" s="14" t="s">
        <v>82</v>
      </c>
      <c r="F65" s="14" t="n">
        <v>0</v>
      </c>
    </row>
    <row r="66" customFormat="false" ht="15" hidden="false" customHeight="false" outlineLevel="0" collapsed="false">
      <c r="A66" s="14" t="s">
        <v>4</v>
      </c>
      <c r="B66" s="14" t="s">
        <v>86</v>
      </c>
      <c r="C66" s="14" t="s">
        <v>72</v>
      </c>
      <c r="D66" s="14" t="n">
        <v>8</v>
      </c>
      <c r="E66" s="14" t="s">
        <v>82</v>
      </c>
      <c r="F66" s="14" t="n">
        <v>0</v>
      </c>
    </row>
    <row r="67" customFormat="false" ht="15" hidden="false" customHeight="false" outlineLevel="0" collapsed="false">
      <c r="A67" s="14" t="s">
        <v>4</v>
      </c>
      <c r="B67" s="14" t="s">
        <v>86</v>
      </c>
      <c r="C67" s="14" t="s">
        <v>98</v>
      </c>
      <c r="D67" s="14" t="n">
        <v>1</v>
      </c>
      <c r="E67" s="14" t="s">
        <v>82</v>
      </c>
      <c r="F67" s="14" t="n">
        <v>0</v>
      </c>
    </row>
    <row r="68" customFormat="false" ht="15" hidden="false" customHeight="false" outlineLevel="0" collapsed="false">
      <c r="A68" s="14" t="s">
        <v>4</v>
      </c>
      <c r="B68" s="14" t="s">
        <v>86</v>
      </c>
      <c r="C68" s="14" t="s">
        <v>65</v>
      </c>
      <c r="D68" s="14" t="n">
        <v>17</v>
      </c>
      <c r="E68" s="14" t="s">
        <v>82</v>
      </c>
      <c r="F68" s="14" t="n">
        <v>0</v>
      </c>
    </row>
    <row r="69" customFormat="false" ht="15" hidden="false" customHeight="false" outlineLevel="0" collapsed="false">
      <c r="A69" s="14" t="s">
        <v>4</v>
      </c>
      <c r="B69" s="14" t="s">
        <v>86</v>
      </c>
      <c r="C69" s="14" t="s">
        <v>69</v>
      </c>
      <c r="D69" s="14" t="n">
        <v>10</v>
      </c>
      <c r="E69" s="14" t="s">
        <v>82</v>
      </c>
      <c r="F69" s="14" t="n">
        <v>0</v>
      </c>
    </row>
    <row r="70" customFormat="false" ht="15" hidden="false" customHeight="false" outlineLevel="0" collapsed="false">
      <c r="A70" s="14" t="s">
        <v>4</v>
      </c>
      <c r="B70" s="14" t="s">
        <v>86</v>
      </c>
      <c r="C70" s="14" t="s">
        <v>93</v>
      </c>
      <c r="D70" s="14" t="n">
        <v>1</v>
      </c>
      <c r="E70" s="14" t="s">
        <v>83</v>
      </c>
      <c r="F70" s="14" t="n">
        <v>0</v>
      </c>
    </row>
    <row r="71" customFormat="false" ht="15" hidden="false" customHeight="false" outlineLevel="0" collapsed="false">
      <c r="A71" s="14" t="s">
        <v>4</v>
      </c>
      <c r="B71" s="14" t="s">
        <v>86</v>
      </c>
      <c r="C71" s="14" t="s">
        <v>71</v>
      </c>
      <c r="D71" s="14" t="n">
        <v>2</v>
      </c>
      <c r="E71" s="14" t="s">
        <v>83</v>
      </c>
      <c r="F71" s="14" t="n">
        <v>0</v>
      </c>
    </row>
    <row r="72" customFormat="false" ht="15" hidden="false" customHeight="false" outlineLevel="0" collapsed="false">
      <c r="A72" s="14" t="s">
        <v>4</v>
      </c>
      <c r="B72" s="14" t="s">
        <v>87</v>
      </c>
      <c r="C72" s="14" t="s">
        <v>70</v>
      </c>
      <c r="D72" s="14" t="n">
        <v>1</v>
      </c>
      <c r="E72" s="14" t="s">
        <v>83</v>
      </c>
      <c r="F72" s="14" t="n">
        <v>1</v>
      </c>
    </row>
    <row r="73" customFormat="false" ht="15" hidden="false" customHeight="false" outlineLevel="0" collapsed="false">
      <c r="A73" s="14" t="s">
        <v>4</v>
      </c>
      <c r="B73" s="14" t="s">
        <v>87</v>
      </c>
      <c r="C73" s="14" t="s">
        <v>65</v>
      </c>
      <c r="D73" s="14" t="n">
        <v>18</v>
      </c>
      <c r="E73" s="14" t="s">
        <v>82</v>
      </c>
      <c r="F73" s="14" t="n">
        <v>0</v>
      </c>
    </row>
    <row r="74" customFormat="false" ht="15" hidden="false" customHeight="false" outlineLevel="0" collapsed="false">
      <c r="A74" s="14" t="s">
        <v>4</v>
      </c>
      <c r="B74" s="14" t="s">
        <v>87</v>
      </c>
      <c r="C74" s="14" t="s">
        <v>67</v>
      </c>
      <c r="D74" s="14" t="n">
        <v>1</v>
      </c>
      <c r="E74" s="14" t="s">
        <v>82</v>
      </c>
      <c r="F74" s="14" t="n">
        <v>0</v>
      </c>
    </row>
    <row r="75" customFormat="false" ht="15" hidden="false" customHeight="false" outlineLevel="0" collapsed="false">
      <c r="A75" s="14" t="s">
        <v>4</v>
      </c>
      <c r="B75" s="14" t="s">
        <v>87</v>
      </c>
      <c r="C75" s="14" t="s">
        <v>110</v>
      </c>
      <c r="D75" s="14" t="n">
        <v>1</v>
      </c>
      <c r="E75" s="14" t="s">
        <v>82</v>
      </c>
      <c r="F75" s="14" t="n">
        <v>0</v>
      </c>
    </row>
    <row r="76" customFormat="false" ht="15" hidden="false" customHeight="false" outlineLevel="0" collapsed="false">
      <c r="A76" s="14" t="s">
        <v>4</v>
      </c>
      <c r="B76" s="14" t="s">
        <v>87</v>
      </c>
      <c r="C76" s="14" t="s">
        <v>69</v>
      </c>
      <c r="D76" s="14" t="n">
        <v>13</v>
      </c>
      <c r="E76" s="14" t="s">
        <v>82</v>
      </c>
      <c r="F76" s="14" t="n">
        <v>0</v>
      </c>
    </row>
    <row r="77" customFormat="false" ht="15" hidden="false" customHeight="false" outlineLevel="0" collapsed="false">
      <c r="A77" s="14" t="s">
        <v>4</v>
      </c>
      <c r="B77" s="14" t="s">
        <v>87</v>
      </c>
      <c r="C77" s="14" t="s">
        <v>111</v>
      </c>
      <c r="D77" s="14" t="n">
        <v>1</v>
      </c>
      <c r="E77" s="14" t="s">
        <v>82</v>
      </c>
      <c r="F77" s="14" t="n">
        <v>0</v>
      </c>
    </row>
    <row r="78" customFormat="false" ht="15" hidden="false" customHeight="false" outlineLevel="0" collapsed="false">
      <c r="A78" s="14" t="s">
        <v>4</v>
      </c>
      <c r="B78" s="14" t="s">
        <v>87</v>
      </c>
      <c r="C78" s="14" t="s">
        <v>72</v>
      </c>
      <c r="D78" s="14" t="n">
        <v>14</v>
      </c>
      <c r="E78" s="14" t="s">
        <v>82</v>
      </c>
      <c r="F78" s="14" t="n">
        <v>0</v>
      </c>
    </row>
    <row r="79" customFormat="false" ht="15" hidden="false" customHeight="false" outlineLevel="0" collapsed="false">
      <c r="A79" s="14" t="s">
        <v>4</v>
      </c>
      <c r="B79" s="14" t="s">
        <v>88</v>
      </c>
      <c r="C79" s="14" t="s">
        <v>72</v>
      </c>
      <c r="D79" s="14" t="n">
        <v>11</v>
      </c>
      <c r="E79" s="14" t="s">
        <v>82</v>
      </c>
      <c r="F79" s="14" t="n">
        <v>2</v>
      </c>
    </row>
    <row r="80" customFormat="false" ht="15" hidden="false" customHeight="false" outlineLevel="0" collapsed="false">
      <c r="A80" s="14" t="s">
        <v>4</v>
      </c>
      <c r="B80" s="14" t="s">
        <v>88</v>
      </c>
      <c r="C80" s="14" t="s">
        <v>110</v>
      </c>
      <c r="D80" s="14" t="n">
        <v>1</v>
      </c>
      <c r="E80" s="14" t="s">
        <v>82</v>
      </c>
      <c r="F80" s="14" t="n">
        <v>2</v>
      </c>
    </row>
    <row r="81" customFormat="false" ht="15" hidden="false" customHeight="false" outlineLevel="0" collapsed="false">
      <c r="A81" s="14" t="s">
        <v>4</v>
      </c>
      <c r="B81" s="14" t="s">
        <v>88</v>
      </c>
      <c r="C81" s="14" t="s">
        <v>65</v>
      </c>
      <c r="D81" s="14" t="n">
        <v>10</v>
      </c>
      <c r="E81" s="14" t="s">
        <v>82</v>
      </c>
      <c r="F81" s="14" t="n">
        <v>2</v>
      </c>
    </row>
    <row r="82" customFormat="false" ht="15" hidden="false" customHeight="false" outlineLevel="0" collapsed="false">
      <c r="A82" s="14" t="s">
        <v>4</v>
      </c>
      <c r="B82" s="14" t="s">
        <v>88</v>
      </c>
      <c r="C82" s="14" t="s">
        <v>69</v>
      </c>
      <c r="D82" s="14" t="n">
        <v>21</v>
      </c>
      <c r="E82" s="14" t="s">
        <v>82</v>
      </c>
      <c r="F82" s="14" t="n">
        <v>2</v>
      </c>
    </row>
    <row r="83" customFormat="false" ht="15" hidden="false" customHeight="false" outlineLevel="0" collapsed="false">
      <c r="A83" s="14" t="s">
        <v>4</v>
      </c>
      <c r="B83" s="14" t="s">
        <v>88</v>
      </c>
      <c r="C83" s="14" t="s">
        <v>71</v>
      </c>
      <c r="D83" s="14" t="n">
        <v>1</v>
      </c>
      <c r="E83" s="14" t="s">
        <v>83</v>
      </c>
      <c r="F83" s="14" t="n">
        <v>2</v>
      </c>
    </row>
    <row r="84" customFormat="false" ht="15" hidden="false" customHeight="false" outlineLevel="0" collapsed="false">
      <c r="A84" s="14" t="s">
        <v>4</v>
      </c>
      <c r="B84" s="14" t="s">
        <v>91</v>
      </c>
      <c r="C84" s="14" t="s">
        <v>71</v>
      </c>
      <c r="D84" s="14" t="n">
        <v>1</v>
      </c>
      <c r="E84" s="14" t="s">
        <v>83</v>
      </c>
      <c r="F84" s="14" t="n">
        <v>4</v>
      </c>
    </row>
    <row r="85" customFormat="false" ht="15" hidden="false" customHeight="false" outlineLevel="0" collapsed="false">
      <c r="A85" s="14" t="s">
        <v>4</v>
      </c>
      <c r="B85" s="14" t="s">
        <v>91</v>
      </c>
      <c r="C85" s="14" t="s">
        <v>70</v>
      </c>
      <c r="D85" s="14" t="n">
        <v>1</v>
      </c>
      <c r="E85" s="14" t="s">
        <v>83</v>
      </c>
      <c r="F85" s="14" t="n">
        <v>4</v>
      </c>
    </row>
    <row r="86" customFormat="false" ht="15" hidden="false" customHeight="false" outlineLevel="0" collapsed="false">
      <c r="A86" s="14" t="s">
        <v>4</v>
      </c>
      <c r="B86" s="14" t="s">
        <v>91</v>
      </c>
      <c r="C86" s="14" t="s">
        <v>112</v>
      </c>
      <c r="D86" s="14" t="n">
        <v>1</v>
      </c>
      <c r="E86" s="14" t="s">
        <v>82</v>
      </c>
      <c r="F86" s="14" t="n">
        <v>4</v>
      </c>
    </row>
    <row r="87" customFormat="false" ht="15" hidden="false" customHeight="false" outlineLevel="0" collapsed="false">
      <c r="A87" s="14" t="s">
        <v>4</v>
      </c>
      <c r="B87" s="14" t="s">
        <v>91</v>
      </c>
      <c r="C87" s="14" t="s">
        <v>93</v>
      </c>
      <c r="D87" s="14" t="n">
        <v>3</v>
      </c>
      <c r="E87" s="14" t="s">
        <v>82</v>
      </c>
      <c r="F87" s="14" t="n">
        <v>2</v>
      </c>
    </row>
    <row r="88" customFormat="false" ht="15" hidden="false" customHeight="false" outlineLevel="0" collapsed="false">
      <c r="A88" s="14" t="s">
        <v>4</v>
      </c>
      <c r="B88" s="14" t="s">
        <v>92</v>
      </c>
      <c r="C88" s="14" t="s">
        <v>70</v>
      </c>
      <c r="D88" s="14" t="n">
        <v>2</v>
      </c>
      <c r="E88" s="14" t="s">
        <v>83</v>
      </c>
      <c r="F88" s="14" t="n">
        <v>2</v>
      </c>
    </row>
    <row r="89" customFormat="false" ht="15" hidden="false" customHeight="false" outlineLevel="0" collapsed="false">
      <c r="A89" s="14" t="s">
        <v>4</v>
      </c>
      <c r="B89" s="14" t="s">
        <v>92</v>
      </c>
      <c r="C89" s="14" t="s">
        <v>65</v>
      </c>
      <c r="D89" s="14" t="n">
        <v>13</v>
      </c>
      <c r="E89" s="14" t="s">
        <v>82</v>
      </c>
      <c r="F89" s="14" t="n">
        <v>3</v>
      </c>
    </row>
    <row r="90" customFormat="false" ht="15" hidden="false" customHeight="false" outlineLevel="0" collapsed="false">
      <c r="A90" s="14" t="s">
        <v>4</v>
      </c>
      <c r="B90" s="14" t="s">
        <v>92</v>
      </c>
      <c r="C90" s="14" t="s">
        <v>68</v>
      </c>
      <c r="D90" s="14" t="n">
        <v>5</v>
      </c>
      <c r="E90" s="14" t="s">
        <v>82</v>
      </c>
      <c r="F90" s="14" t="n">
        <v>3</v>
      </c>
    </row>
    <row r="91" customFormat="false" ht="15" hidden="false" customHeight="false" outlineLevel="0" collapsed="false">
      <c r="A91" s="14" t="s">
        <v>4</v>
      </c>
      <c r="B91" s="14" t="s">
        <v>92</v>
      </c>
      <c r="C91" s="14" t="s">
        <v>67</v>
      </c>
      <c r="D91" s="14" t="n">
        <v>1</v>
      </c>
      <c r="E91" s="14" t="s">
        <v>82</v>
      </c>
      <c r="F91" s="14" t="n">
        <v>3</v>
      </c>
    </row>
    <row r="92" customFormat="false" ht="15" hidden="false" customHeight="false" outlineLevel="0" collapsed="false">
      <c r="A92" s="14" t="s">
        <v>4</v>
      </c>
      <c r="B92" s="14" t="s">
        <v>94</v>
      </c>
      <c r="C92" s="14" t="s">
        <v>89</v>
      </c>
      <c r="D92" s="14" t="n">
        <v>1</v>
      </c>
      <c r="E92" s="14" t="s">
        <v>90</v>
      </c>
      <c r="F92" s="14" t="n">
        <v>0</v>
      </c>
    </row>
    <row r="93" customFormat="false" ht="15" hidden="false" customHeight="false" outlineLevel="0" collapsed="false">
      <c r="A93" s="14" t="s">
        <v>4</v>
      </c>
      <c r="B93" s="14" t="s">
        <v>94</v>
      </c>
      <c r="C93" s="14" t="s">
        <v>70</v>
      </c>
      <c r="D93" s="14" t="n">
        <v>2</v>
      </c>
      <c r="E93" s="14" t="s">
        <v>82</v>
      </c>
      <c r="F93" s="14" t="n">
        <v>2</v>
      </c>
    </row>
    <row r="94" customFormat="false" ht="15" hidden="false" customHeight="false" outlineLevel="0" collapsed="false">
      <c r="A94" s="14" t="s">
        <v>4</v>
      </c>
      <c r="B94" s="14" t="s">
        <v>94</v>
      </c>
      <c r="C94" s="14" t="s">
        <v>66</v>
      </c>
      <c r="D94" s="14" t="n">
        <v>27</v>
      </c>
      <c r="E94" s="14" t="s">
        <v>82</v>
      </c>
      <c r="F94" s="14" t="n">
        <v>2</v>
      </c>
    </row>
    <row r="95" customFormat="false" ht="15" hidden="false" customHeight="false" outlineLevel="0" collapsed="false">
      <c r="A95" s="14" t="s">
        <v>4</v>
      </c>
      <c r="B95" s="14" t="s">
        <v>94</v>
      </c>
      <c r="C95" s="14" t="s">
        <v>68</v>
      </c>
      <c r="D95" s="14" t="n">
        <v>2</v>
      </c>
      <c r="E95" s="14" t="s">
        <v>82</v>
      </c>
      <c r="F95" s="14" t="n">
        <v>2</v>
      </c>
    </row>
    <row r="96" customFormat="false" ht="15" hidden="false" customHeight="false" outlineLevel="0" collapsed="false">
      <c r="A96" s="14" t="s">
        <v>4</v>
      </c>
      <c r="B96" s="14" t="s">
        <v>94</v>
      </c>
      <c r="C96" s="14" t="s">
        <v>65</v>
      </c>
      <c r="D96" s="14" t="n">
        <v>6</v>
      </c>
      <c r="E96" s="14" t="s">
        <v>82</v>
      </c>
      <c r="F96" s="14" t="n">
        <v>2</v>
      </c>
    </row>
    <row r="97" customFormat="false" ht="15" hidden="false" customHeight="false" outlineLevel="0" collapsed="false">
      <c r="A97" s="14" t="s">
        <v>4</v>
      </c>
      <c r="B97" s="14" t="s">
        <v>94</v>
      </c>
      <c r="C97" s="14" t="s">
        <v>71</v>
      </c>
      <c r="D97" s="14" t="n">
        <v>2</v>
      </c>
      <c r="E97" s="14" t="s">
        <v>83</v>
      </c>
      <c r="F97" s="14" t="n">
        <v>2</v>
      </c>
    </row>
    <row r="98" customFormat="false" ht="15" hidden="false" customHeight="false" outlineLevel="0" collapsed="false">
      <c r="A98" s="14" t="s">
        <v>4</v>
      </c>
      <c r="B98" s="14" t="s">
        <v>96</v>
      </c>
      <c r="C98" s="14" t="s">
        <v>70</v>
      </c>
      <c r="D98" s="14" t="n">
        <v>2</v>
      </c>
      <c r="E98" s="14" t="s">
        <v>83</v>
      </c>
      <c r="F98" s="14" t="n">
        <v>3</v>
      </c>
    </row>
    <row r="99" customFormat="false" ht="15" hidden="false" customHeight="false" outlineLevel="0" collapsed="false">
      <c r="A99" s="14" t="s">
        <v>4</v>
      </c>
      <c r="B99" s="14" t="s">
        <v>96</v>
      </c>
      <c r="C99" s="14" t="s">
        <v>66</v>
      </c>
      <c r="D99" s="14" t="n">
        <v>31</v>
      </c>
      <c r="E99" s="14" t="s">
        <v>82</v>
      </c>
      <c r="F99" s="14" t="n">
        <v>1</v>
      </c>
    </row>
    <row r="100" customFormat="false" ht="15" hidden="false" customHeight="false" outlineLevel="0" collapsed="false">
      <c r="A100" s="14" t="s">
        <v>4</v>
      </c>
      <c r="B100" s="14" t="s">
        <v>96</v>
      </c>
      <c r="C100" s="14" t="s">
        <v>104</v>
      </c>
      <c r="D100" s="14" t="n">
        <v>1</v>
      </c>
      <c r="E100" s="14" t="s">
        <v>90</v>
      </c>
      <c r="F100" s="14" t="n">
        <v>1</v>
      </c>
    </row>
    <row r="101" customFormat="false" ht="15" hidden="false" customHeight="false" outlineLevel="0" collapsed="false">
      <c r="A101" s="14" t="s">
        <v>4</v>
      </c>
      <c r="B101" s="14" t="s">
        <v>96</v>
      </c>
      <c r="C101" s="14" t="s">
        <v>67</v>
      </c>
      <c r="D101" s="14" t="n">
        <v>1</v>
      </c>
      <c r="E101" s="14" t="s">
        <v>82</v>
      </c>
      <c r="F101" s="14" t="n">
        <v>1</v>
      </c>
    </row>
    <row r="102" customFormat="false" ht="15" hidden="false" customHeight="false" outlineLevel="0" collapsed="false">
      <c r="A102" s="14" t="s">
        <v>4</v>
      </c>
      <c r="B102" s="14" t="s">
        <v>96</v>
      </c>
      <c r="C102" s="14" t="s">
        <v>68</v>
      </c>
      <c r="D102" s="14" t="n">
        <v>4</v>
      </c>
      <c r="E102" s="14" t="s">
        <v>82</v>
      </c>
      <c r="F102" s="14" t="n">
        <v>1</v>
      </c>
    </row>
    <row r="103" customFormat="false" ht="15" hidden="false" customHeight="false" outlineLevel="0" collapsed="false">
      <c r="A103" s="14" t="s">
        <v>4</v>
      </c>
      <c r="B103" s="14" t="s">
        <v>96</v>
      </c>
      <c r="C103" s="14" t="s">
        <v>65</v>
      </c>
      <c r="D103" s="14" t="n">
        <v>4</v>
      </c>
      <c r="E103" s="14" t="s">
        <v>82</v>
      </c>
      <c r="F103" s="14" t="n">
        <v>1</v>
      </c>
    </row>
    <row r="104" customFormat="false" ht="15" hidden="false" customHeight="false" outlineLevel="0" collapsed="false">
      <c r="A104" s="14" t="s">
        <v>4</v>
      </c>
      <c r="B104" s="14" t="s">
        <v>97</v>
      </c>
      <c r="C104" s="14" t="s">
        <v>70</v>
      </c>
      <c r="D104" s="14" t="n">
        <v>1</v>
      </c>
      <c r="E104" s="14" t="s">
        <v>83</v>
      </c>
      <c r="F104" s="14" t="n">
        <v>3</v>
      </c>
    </row>
    <row r="105" customFormat="false" ht="15" hidden="false" customHeight="false" outlineLevel="0" collapsed="false">
      <c r="A105" s="14" t="s">
        <v>4</v>
      </c>
      <c r="B105" s="14" t="s">
        <v>97</v>
      </c>
      <c r="C105" s="14" t="s">
        <v>71</v>
      </c>
      <c r="D105" s="14" t="n">
        <v>1</v>
      </c>
      <c r="E105" s="14" t="s">
        <v>83</v>
      </c>
      <c r="F105" s="14" t="n">
        <v>5</v>
      </c>
    </row>
    <row r="106" customFormat="false" ht="15" hidden="false" customHeight="false" outlineLevel="0" collapsed="false">
      <c r="A106" s="14" t="s">
        <v>4</v>
      </c>
      <c r="B106" s="14" t="s">
        <v>97</v>
      </c>
      <c r="C106" s="14" t="s">
        <v>65</v>
      </c>
      <c r="D106" s="14" t="n">
        <v>1</v>
      </c>
      <c r="E106" s="14" t="s">
        <v>90</v>
      </c>
      <c r="F106" s="14" t="n">
        <v>7</v>
      </c>
    </row>
    <row r="107" customFormat="false" ht="15" hidden="false" customHeight="false" outlineLevel="0" collapsed="false">
      <c r="A107" s="14" t="s">
        <v>4</v>
      </c>
      <c r="B107" s="14" t="s">
        <v>97</v>
      </c>
      <c r="C107" s="14" t="s">
        <v>70</v>
      </c>
      <c r="D107" s="14" t="n">
        <v>2</v>
      </c>
      <c r="E107" s="14" t="s">
        <v>90</v>
      </c>
      <c r="F107" s="14" t="n">
        <v>5</v>
      </c>
    </row>
    <row r="108" customFormat="false" ht="15" hidden="false" customHeight="false" outlineLevel="0" collapsed="false">
      <c r="A108" s="14" t="s">
        <v>4</v>
      </c>
      <c r="B108" s="14" t="s">
        <v>113</v>
      </c>
      <c r="C108" s="14" t="s">
        <v>70</v>
      </c>
      <c r="D108" s="14" t="n">
        <v>2</v>
      </c>
      <c r="E108" s="14" t="s">
        <v>83</v>
      </c>
      <c r="F108" s="14" t="n">
        <v>3</v>
      </c>
    </row>
    <row r="109" customFormat="false" ht="15" hidden="false" customHeight="false" outlineLevel="0" collapsed="false">
      <c r="A109" s="14" t="s">
        <v>4</v>
      </c>
      <c r="B109" s="14" t="s">
        <v>113</v>
      </c>
      <c r="C109" s="14" t="s">
        <v>68</v>
      </c>
      <c r="D109" s="14" t="n">
        <v>6</v>
      </c>
      <c r="E109" s="14" t="s">
        <v>82</v>
      </c>
      <c r="F109" s="14" t="n">
        <v>3</v>
      </c>
    </row>
    <row r="110" customFormat="false" ht="15" hidden="false" customHeight="false" outlineLevel="0" collapsed="false">
      <c r="A110" s="14" t="s">
        <v>4</v>
      </c>
      <c r="B110" s="14" t="s">
        <v>113</v>
      </c>
      <c r="C110" s="14" t="s">
        <v>114</v>
      </c>
      <c r="D110" s="14" t="n">
        <v>2</v>
      </c>
      <c r="E110" s="14" t="s">
        <v>90</v>
      </c>
      <c r="F110" s="14" t="n">
        <v>3</v>
      </c>
    </row>
    <row r="111" customFormat="false" ht="15" hidden="false" customHeight="false" outlineLevel="0" collapsed="false">
      <c r="A111" s="14" t="s">
        <v>4</v>
      </c>
      <c r="B111" s="14" t="s">
        <v>113</v>
      </c>
      <c r="C111" s="14" t="s">
        <v>111</v>
      </c>
      <c r="D111" s="14" t="n">
        <v>1</v>
      </c>
      <c r="E111" s="14" t="s">
        <v>90</v>
      </c>
      <c r="F111" s="14" t="n">
        <v>3</v>
      </c>
    </row>
    <row r="112" customFormat="false" ht="15" hidden="false" customHeight="false" outlineLevel="0" collapsed="false">
      <c r="A112" s="14" t="s">
        <v>4</v>
      </c>
      <c r="B112" s="14" t="s">
        <v>113</v>
      </c>
      <c r="C112" s="14" t="s">
        <v>68</v>
      </c>
      <c r="D112" s="14" t="n">
        <v>3</v>
      </c>
      <c r="E112" s="14" t="s">
        <v>83</v>
      </c>
      <c r="F112" s="14" t="n">
        <v>3</v>
      </c>
    </row>
    <row r="113" customFormat="false" ht="15" hidden="false" customHeight="false" outlineLevel="0" collapsed="false">
      <c r="A113" s="14" t="s">
        <v>4</v>
      </c>
      <c r="B113" s="14" t="s">
        <v>99</v>
      </c>
      <c r="C113" s="14" t="s">
        <v>70</v>
      </c>
      <c r="D113" s="14" t="n">
        <v>2</v>
      </c>
      <c r="E113" s="14" t="s">
        <v>83</v>
      </c>
      <c r="F113" s="14" t="n">
        <v>3</v>
      </c>
    </row>
    <row r="114" customFormat="false" ht="15" hidden="false" customHeight="false" outlineLevel="0" collapsed="false">
      <c r="A114" s="14" t="s">
        <v>4</v>
      </c>
      <c r="B114" s="14" t="s">
        <v>99</v>
      </c>
      <c r="C114" s="14" t="s">
        <v>68</v>
      </c>
      <c r="D114" s="14" t="n">
        <v>2</v>
      </c>
      <c r="E114" s="14" t="s">
        <v>82</v>
      </c>
      <c r="F114" s="14" t="n">
        <v>0</v>
      </c>
    </row>
    <row r="115" customFormat="false" ht="15" hidden="false" customHeight="false" outlineLevel="0" collapsed="false">
      <c r="A115" s="14" t="s">
        <v>4</v>
      </c>
      <c r="B115" s="14" t="s">
        <v>99</v>
      </c>
      <c r="C115" s="14" t="s">
        <v>66</v>
      </c>
      <c r="D115" s="14" t="n">
        <v>7</v>
      </c>
      <c r="E115" s="14" t="s">
        <v>82</v>
      </c>
      <c r="F115" s="14" t="n">
        <v>0</v>
      </c>
    </row>
    <row r="116" customFormat="false" ht="15" hidden="false" customHeight="false" outlineLevel="0" collapsed="false">
      <c r="A116" s="14" t="s">
        <v>4</v>
      </c>
      <c r="B116" s="14" t="s">
        <v>100</v>
      </c>
      <c r="C116" s="14" t="s">
        <v>70</v>
      </c>
      <c r="D116" s="14" t="n">
        <v>2</v>
      </c>
      <c r="E116" s="14" t="s">
        <v>83</v>
      </c>
      <c r="F116" s="14" t="n">
        <v>3</v>
      </c>
    </row>
    <row r="117" customFormat="false" ht="15" hidden="false" customHeight="false" outlineLevel="0" collapsed="false">
      <c r="A117" s="14" t="s">
        <v>4</v>
      </c>
      <c r="B117" s="14" t="s">
        <v>100</v>
      </c>
      <c r="C117" s="14" t="s">
        <v>68</v>
      </c>
      <c r="D117" s="14" t="n">
        <v>3</v>
      </c>
      <c r="E117" s="14" t="s">
        <v>82</v>
      </c>
      <c r="F117" s="14" t="n">
        <v>2</v>
      </c>
    </row>
    <row r="118" customFormat="false" ht="15" hidden="false" customHeight="false" outlineLevel="0" collapsed="false">
      <c r="A118" s="14" t="s">
        <v>4</v>
      </c>
      <c r="B118" s="14" t="s">
        <v>100</v>
      </c>
      <c r="C118" s="14" t="s">
        <v>112</v>
      </c>
      <c r="D118" s="14" t="n">
        <v>4</v>
      </c>
      <c r="E118" s="14" t="s">
        <v>82</v>
      </c>
      <c r="F118" s="14" t="n">
        <v>2</v>
      </c>
    </row>
    <row r="119" customFormat="false" ht="15" hidden="false" customHeight="false" outlineLevel="0" collapsed="false">
      <c r="A119" s="14" t="s">
        <v>4</v>
      </c>
      <c r="B119" s="14" t="s">
        <v>100</v>
      </c>
      <c r="C119" s="14" t="s">
        <v>67</v>
      </c>
      <c r="D119" s="14" t="n">
        <v>7</v>
      </c>
      <c r="E119" s="14" t="s">
        <v>82</v>
      </c>
      <c r="F119" s="14" t="n">
        <v>2</v>
      </c>
    </row>
    <row r="120" customFormat="false" ht="15" hidden="false" customHeight="false" outlineLevel="0" collapsed="false">
      <c r="A120" s="14" t="s">
        <v>4</v>
      </c>
      <c r="B120" s="14" t="s">
        <v>100</v>
      </c>
      <c r="C120" s="14" t="s">
        <v>71</v>
      </c>
      <c r="D120" s="14" t="n">
        <v>1</v>
      </c>
      <c r="E120" s="14" t="s">
        <v>83</v>
      </c>
      <c r="F120" s="14" t="n">
        <v>2</v>
      </c>
    </row>
    <row r="121" customFormat="false" ht="15" hidden="false" customHeight="false" outlineLevel="0" collapsed="false">
      <c r="A121" s="14" t="s">
        <v>4</v>
      </c>
      <c r="B121" s="14" t="s">
        <v>100</v>
      </c>
      <c r="C121" s="14" t="s">
        <v>93</v>
      </c>
      <c r="D121" s="14" t="n">
        <v>2</v>
      </c>
      <c r="E121" s="14" t="s">
        <v>82</v>
      </c>
      <c r="F121" s="14" t="n">
        <v>2</v>
      </c>
    </row>
    <row r="122" customFormat="false" ht="15" hidden="false" customHeight="false" outlineLevel="0" collapsed="false">
      <c r="A122" s="14" t="s">
        <v>4</v>
      </c>
      <c r="B122" s="14" t="s">
        <v>101</v>
      </c>
      <c r="C122" s="14" t="s">
        <v>111</v>
      </c>
      <c r="D122" s="14" t="n">
        <v>2</v>
      </c>
      <c r="E122" s="14" t="s">
        <v>90</v>
      </c>
      <c r="F122" s="14" t="n">
        <v>1</v>
      </c>
    </row>
    <row r="123" customFormat="false" ht="15" hidden="false" customHeight="false" outlineLevel="0" collapsed="false">
      <c r="A123" s="14" t="s">
        <v>4</v>
      </c>
      <c r="B123" s="14" t="s">
        <v>115</v>
      </c>
      <c r="C123" s="14" t="s">
        <v>72</v>
      </c>
      <c r="D123" s="14" t="n">
        <v>2</v>
      </c>
      <c r="E123" s="14" t="s">
        <v>90</v>
      </c>
      <c r="F123" s="14" t="n">
        <v>1</v>
      </c>
    </row>
    <row r="124" customFormat="false" ht="15" hidden="false" customHeight="false" outlineLevel="0" collapsed="false">
      <c r="A124" s="14" t="s">
        <v>4</v>
      </c>
      <c r="B124" s="14" t="s">
        <v>102</v>
      </c>
      <c r="C124" s="14" t="s">
        <v>112</v>
      </c>
      <c r="D124" s="14" t="n">
        <v>1</v>
      </c>
      <c r="E124" s="14" t="s">
        <v>82</v>
      </c>
      <c r="F124" s="14" t="n">
        <v>3</v>
      </c>
    </row>
    <row r="125" customFormat="false" ht="15" hidden="false" customHeight="false" outlineLevel="0" collapsed="false">
      <c r="A125" s="14" t="s">
        <v>4</v>
      </c>
      <c r="B125" s="14" t="s">
        <v>103</v>
      </c>
      <c r="C125" s="14" t="s">
        <v>68</v>
      </c>
      <c r="D125" s="14" t="n">
        <v>2</v>
      </c>
      <c r="E125" s="14" t="s">
        <v>82</v>
      </c>
      <c r="F125" s="14" t="n">
        <v>4</v>
      </c>
    </row>
    <row r="126" customFormat="false" ht="15" hidden="false" customHeight="false" outlineLevel="0" collapsed="false">
      <c r="A126" s="14" t="s">
        <v>4</v>
      </c>
      <c r="B126" s="14" t="s">
        <v>116</v>
      </c>
      <c r="C126" s="14" t="s">
        <v>67</v>
      </c>
      <c r="D126" s="14" t="n">
        <v>2</v>
      </c>
      <c r="E126" s="14" t="s">
        <v>82</v>
      </c>
      <c r="F126" s="14" t="n">
        <v>2</v>
      </c>
    </row>
    <row r="127" customFormat="false" ht="15" hidden="false" customHeight="false" outlineLevel="0" collapsed="false">
      <c r="A127" s="14" t="s">
        <v>4</v>
      </c>
      <c r="B127" s="14" t="s">
        <v>116</v>
      </c>
      <c r="C127" s="14" t="s">
        <v>68</v>
      </c>
      <c r="D127" s="14" t="n">
        <v>1</v>
      </c>
      <c r="E127" s="14" t="s">
        <v>82</v>
      </c>
      <c r="F127" s="14" t="n">
        <v>2</v>
      </c>
    </row>
    <row r="128" customFormat="false" ht="15" hidden="false" customHeight="false" outlineLevel="0" collapsed="false">
      <c r="A128" s="14" t="s">
        <v>4</v>
      </c>
      <c r="B128" s="14" t="s">
        <v>116</v>
      </c>
      <c r="C128" s="14" t="s">
        <v>67</v>
      </c>
      <c r="D128" s="14" t="n">
        <v>1</v>
      </c>
      <c r="E128" s="14" t="s">
        <v>82</v>
      </c>
      <c r="F128" s="14" t="n">
        <v>1</v>
      </c>
    </row>
    <row r="129" customFormat="false" ht="15" hidden="false" customHeight="false" outlineLevel="0" collapsed="false">
      <c r="A129" s="14" t="s">
        <v>4</v>
      </c>
      <c r="B129" s="14" t="s">
        <v>105</v>
      </c>
      <c r="C129" s="14" t="s">
        <v>93</v>
      </c>
      <c r="D129" s="14" t="n">
        <v>1</v>
      </c>
      <c r="E129" s="14" t="s">
        <v>83</v>
      </c>
      <c r="F129" s="14" t="n">
        <v>2</v>
      </c>
    </row>
    <row r="130" customFormat="false" ht="15" hidden="false" customHeight="false" outlineLevel="0" collapsed="false">
      <c r="A130" s="14" t="s">
        <v>4</v>
      </c>
      <c r="B130" s="14" t="s">
        <v>105</v>
      </c>
      <c r="C130" s="14" t="s">
        <v>71</v>
      </c>
      <c r="D130" s="14" t="n">
        <v>1</v>
      </c>
      <c r="E130" s="14" t="s">
        <v>83</v>
      </c>
      <c r="F130" s="14" t="n">
        <v>1</v>
      </c>
    </row>
    <row r="131" customFormat="false" ht="15" hidden="false" customHeight="false" outlineLevel="0" collapsed="false">
      <c r="A131" s="14" t="s">
        <v>4</v>
      </c>
      <c r="B131" s="14" t="s">
        <v>105</v>
      </c>
      <c r="C131" s="14" t="s">
        <v>112</v>
      </c>
      <c r="D131" s="14" t="n">
        <v>1</v>
      </c>
      <c r="E131" s="14" t="s">
        <v>83</v>
      </c>
      <c r="F131" s="14" t="n">
        <v>1</v>
      </c>
    </row>
    <row r="132" customFormat="false" ht="15" hidden="false" customHeight="false" outlineLevel="0" collapsed="false">
      <c r="A132" s="14" t="s">
        <v>4</v>
      </c>
      <c r="B132" s="14" t="s">
        <v>106</v>
      </c>
      <c r="C132" s="14" t="s">
        <v>66</v>
      </c>
      <c r="D132" s="14" t="n">
        <v>5</v>
      </c>
      <c r="E132" s="14" t="s">
        <v>82</v>
      </c>
      <c r="F132" s="14" t="n">
        <v>2</v>
      </c>
    </row>
    <row r="133" customFormat="false" ht="15" hidden="false" customHeight="false" outlineLevel="0" collapsed="false">
      <c r="A133" s="14" t="s">
        <v>4</v>
      </c>
      <c r="B133" s="14" t="s">
        <v>106</v>
      </c>
      <c r="C133" s="14" t="s">
        <v>67</v>
      </c>
      <c r="D133" s="14" t="n">
        <v>3</v>
      </c>
      <c r="E133" s="14" t="s">
        <v>83</v>
      </c>
      <c r="F133" s="14" t="n">
        <v>1</v>
      </c>
    </row>
    <row r="134" customFormat="false" ht="15" hidden="false" customHeight="false" outlineLevel="0" collapsed="false">
      <c r="A134" s="14" t="s">
        <v>4</v>
      </c>
      <c r="B134" s="14" t="s">
        <v>106</v>
      </c>
      <c r="C134" s="14" t="s">
        <v>68</v>
      </c>
      <c r="D134" s="14" t="n">
        <v>2</v>
      </c>
      <c r="E134" s="14" t="s">
        <v>83</v>
      </c>
      <c r="F134" s="14" t="n">
        <v>1</v>
      </c>
    </row>
    <row r="135" customFormat="false" ht="15" hidden="false" customHeight="false" outlineLevel="0" collapsed="false">
      <c r="A135" s="14" t="s">
        <v>4</v>
      </c>
      <c r="B135" s="14" t="s">
        <v>106</v>
      </c>
      <c r="C135" s="14" t="s">
        <v>117</v>
      </c>
      <c r="D135" s="14" t="n">
        <v>2</v>
      </c>
      <c r="E135" s="14" t="s">
        <v>83</v>
      </c>
      <c r="F135" s="14" t="n">
        <v>1</v>
      </c>
    </row>
    <row r="136" customFormat="false" ht="15" hidden="false" customHeight="false" outlineLevel="0" collapsed="false">
      <c r="A136" s="14" t="s">
        <v>4</v>
      </c>
      <c r="B136" s="14" t="s">
        <v>118</v>
      </c>
      <c r="C136" s="14" t="s">
        <v>68</v>
      </c>
      <c r="D136" s="14" t="n">
        <v>6</v>
      </c>
      <c r="E136" s="14" t="s">
        <v>82</v>
      </c>
      <c r="F136" s="14" t="n">
        <v>1</v>
      </c>
    </row>
    <row r="137" customFormat="false" ht="15" hidden="false" customHeight="false" outlineLevel="0" collapsed="false">
      <c r="A137" s="14" t="s">
        <v>4</v>
      </c>
      <c r="B137" s="14" t="s">
        <v>118</v>
      </c>
      <c r="C137" s="14" t="s">
        <v>71</v>
      </c>
      <c r="D137" s="14" t="n">
        <v>1</v>
      </c>
      <c r="E137" s="14" t="s">
        <v>83</v>
      </c>
      <c r="F137" s="14" t="n">
        <v>1</v>
      </c>
    </row>
    <row r="138" customFormat="false" ht="15" hidden="false" customHeight="false" outlineLevel="0" collapsed="false">
      <c r="A138" s="14" t="s">
        <v>4</v>
      </c>
      <c r="B138" s="14" t="s">
        <v>107</v>
      </c>
      <c r="C138" s="14" t="s">
        <v>66</v>
      </c>
      <c r="D138" s="14" t="n">
        <v>10</v>
      </c>
      <c r="E138" s="14" t="s">
        <v>82</v>
      </c>
      <c r="F138" s="14" t="n">
        <v>1</v>
      </c>
    </row>
    <row r="139" customFormat="false" ht="15" hidden="false" customHeight="false" outlineLevel="0" collapsed="false">
      <c r="A139" s="14" t="s">
        <v>4</v>
      </c>
      <c r="B139" s="14" t="s">
        <v>107</v>
      </c>
      <c r="C139" s="14" t="s">
        <v>70</v>
      </c>
      <c r="D139" s="14" t="n">
        <v>2</v>
      </c>
      <c r="E139" s="14" t="s">
        <v>83</v>
      </c>
      <c r="F139" s="14" t="n">
        <v>1</v>
      </c>
    </row>
    <row r="140" customFormat="false" ht="15" hidden="false" customHeight="false" outlineLevel="0" collapsed="false">
      <c r="A140" s="14" t="s">
        <v>4</v>
      </c>
      <c r="B140" s="14" t="s">
        <v>119</v>
      </c>
      <c r="C140" s="14" t="s">
        <v>67</v>
      </c>
      <c r="D140" s="14" t="n">
        <v>3</v>
      </c>
      <c r="E140" s="14" t="s">
        <v>82</v>
      </c>
      <c r="F140" s="14" t="n">
        <v>2</v>
      </c>
    </row>
    <row r="141" customFormat="false" ht="15" hidden="false" customHeight="false" outlineLevel="0" collapsed="false">
      <c r="A141" s="14" t="s">
        <v>4</v>
      </c>
      <c r="B141" s="14" t="s">
        <v>119</v>
      </c>
      <c r="C141" s="14" t="s">
        <v>68</v>
      </c>
      <c r="D141" s="14" t="n">
        <v>10</v>
      </c>
      <c r="E141" s="14" t="s">
        <v>82</v>
      </c>
      <c r="F141" s="14" t="n">
        <v>2</v>
      </c>
    </row>
    <row r="142" customFormat="false" ht="15" hidden="false" customHeight="false" outlineLevel="0" collapsed="false">
      <c r="A142" s="14" t="s">
        <v>4</v>
      </c>
      <c r="B142" s="14" t="s">
        <v>108</v>
      </c>
      <c r="C142" s="14" t="s">
        <v>70</v>
      </c>
      <c r="D142" s="14" t="n">
        <v>2</v>
      </c>
      <c r="E142" s="14" t="s">
        <v>83</v>
      </c>
      <c r="F142" s="14" t="n">
        <v>4</v>
      </c>
    </row>
    <row r="143" customFormat="false" ht="15" hidden="false" customHeight="false" outlineLevel="0" collapsed="false">
      <c r="A143" s="14" t="s">
        <v>4</v>
      </c>
      <c r="B143" s="14" t="s">
        <v>120</v>
      </c>
      <c r="C143" s="14" t="s">
        <v>70</v>
      </c>
      <c r="D143" s="14" t="n">
        <v>1</v>
      </c>
      <c r="E143" s="14" t="s">
        <v>83</v>
      </c>
      <c r="F143" s="14" t="n">
        <v>5</v>
      </c>
    </row>
    <row r="144" customFormat="false" ht="15" hidden="false" customHeight="false" outlineLevel="0" collapsed="false">
      <c r="A144" s="14" t="s">
        <v>4</v>
      </c>
      <c r="B144" s="14" t="s">
        <v>120</v>
      </c>
      <c r="C144" s="14" t="s">
        <v>71</v>
      </c>
      <c r="D144" s="14" t="n">
        <v>2</v>
      </c>
      <c r="E144" s="14" t="s">
        <v>83</v>
      </c>
      <c r="F144" s="14" t="n">
        <v>5</v>
      </c>
    </row>
    <row r="145" customFormat="false" ht="15" hidden="false" customHeight="false" outlineLevel="0" collapsed="false">
      <c r="A145" s="14" t="s">
        <v>4</v>
      </c>
      <c r="B145" s="14" t="s">
        <v>121</v>
      </c>
      <c r="C145" s="14" t="s">
        <v>68</v>
      </c>
      <c r="D145" s="14" t="n">
        <v>15</v>
      </c>
      <c r="E145" s="14" t="s">
        <v>83</v>
      </c>
      <c r="F145" s="14" t="n">
        <v>0</v>
      </c>
    </row>
    <row r="146" customFormat="false" ht="15" hidden="false" customHeight="false" outlineLevel="0" collapsed="false">
      <c r="A146" s="14" t="s">
        <v>4</v>
      </c>
      <c r="B146" s="14" t="s">
        <v>121</v>
      </c>
      <c r="C146" s="14" t="s">
        <v>66</v>
      </c>
      <c r="D146" s="14" t="n">
        <v>18</v>
      </c>
      <c r="E146" s="14" t="s">
        <v>82</v>
      </c>
      <c r="F146" s="14" t="n">
        <v>0</v>
      </c>
    </row>
    <row r="147" customFormat="false" ht="15" hidden="false" customHeight="false" outlineLevel="0" collapsed="false">
      <c r="A147" s="14" t="s">
        <v>4</v>
      </c>
      <c r="B147" s="14" t="s">
        <v>121</v>
      </c>
      <c r="C147" s="14" t="s">
        <v>67</v>
      </c>
      <c r="D147" s="14" t="n">
        <v>32</v>
      </c>
      <c r="E147" s="14" t="s">
        <v>82</v>
      </c>
      <c r="F147" s="14" t="n">
        <v>0</v>
      </c>
    </row>
    <row r="148" customFormat="false" ht="15" hidden="false" customHeight="false" outlineLevel="0" collapsed="false">
      <c r="A148" s="14" t="s">
        <v>4</v>
      </c>
      <c r="B148" s="14" t="s">
        <v>121</v>
      </c>
      <c r="C148" s="14" t="s">
        <v>112</v>
      </c>
      <c r="D148" s="14" t="n">
        <v>1</v>
      </c>
      <c r="E148" s="14" t="s">
        <v>83</v>
      </c>
      <c r="F148" s="14" t="n">
        <v>0</v>
      </c>
    </row>
    <row r="149" customFormat="false" ht="15" hidden="false" customHeight="false" outlineLevel="0" collapsed="false">
      <c r="A149" s="14" t="s">
        <v>4</v>
      </c>
      <c r="B149" s="14" t="s">
        <v>121</v>
      </c>
      <c r="C149" s="14" t="s">
        <v>98</v>
      </c>
      <c r="D149" s="14" t="n">
        <v>1</v>
      </c>
      <c r="E149" s="14" t="s">
        <v>82</v>
      </c>
      <c r="F149" s="14" t="n">
        <v>0</v>
      </c>
    </row>
    <row r="150" customFormat="false" ht="15" hidden="false" customHeight="false" outlineLevel="0" collapsed="false">
      <c r="A150" s="14" t="s">
        <v>4</v>
      </c>
      <c r="B150" s="14" t="s">
        <v>122</v>
      </c>
      <c r="C150" s="14" t="s">
        <v>66</v>
      </c>
      <c r="D150" s="14" t="n">
        <v>18</v>
      </c>
      <c r="E150" s="14" t="s">
        <v>82</v>
      </c>
      <c r="F150" s="14" t="n">
        <v>1</v>
      </c>
    </row>
    <row r="151" customFormat="false" ht="15" hidden="false" customHeight="false" outlineLevel="0" collapsed="false">
      <c r="A151" s="14" t="s">
        <v>4</v>
      </c>
      <c r="B151" s="14" t="s">
        <v>123</v>
      </c>
      <c r="C151" s="14" t="s">
        <v>89</v>
      </c>
      <c r="D151" s="14" t="n">
        <v>2</v>
      </c>
      <c r="E151" s="14" t="s">
        <v>83</v>
      </c>
      <c r="F151" s="14" t="n">
        <v>1</v>
      </c>
    </row>
    <row r="152" customFormat="false" ht="15" hidden="false" customHeight="false" outlineLevel="0" collapsed="false">
      <c r="A152" s="14" t="s">
        <v>4</v>
      </c>
      <c r="B152" s="14" t="s">
        <v>123</v>
      </c>
      <c r="C152" s="14" t="s">
        <v>66</v>
      </c>
      <c r="D152" s="14" t="n">
        <v>17</v>
      </c>
      <c r="E152" s="14" t="s">
        <v>90</v>
      </c>
      <c r="F152" s="14" t="n">
        <v>1</v>
      </c>
    </row>
    <row r="153" customFormat="false" ht="15" hidden="false" customHeight="false" outlineLevel="0" collapsed="false">
      <c r="A153" s="14" t="s">
        <v>5</v>
      </c>
      <c r="B153" s="14" t="s">
        <v>103</v>
      </c>
      <c r="C153" s="14" t="s">
        <v>93</v>
      </c>
      <c r="D153" s="14" t="n">
        <v>1</v>
      </c>
      <c r="E153" s="14" t="s">
        <v>90</v>
      </c>
      <c r="F153" s="14" t="n">
        <v>2</v>
      </c>
    </row>
    <row r="154" customFormat="false" ht="15" hidden="false" customHeight="false" outlineLevel="0" collapsed="false">
      <c r="A154" s="14" t="s">
        <v>5</v>
      </c>
      <c r="B154" s="14" t="s">
        <v>103</v>
      </c>
      <c r="C154" s="14" t="s">
        <v>104</v>
      </c>
      <c r="D154" s="14" t="n">
        <v>1</v>
      </c>
      <c r="E154" s="14" t="s">
        <v>82</v>
      </c>
      <c r="F154" s="14" t="n">
        <v>2</v>
      </c>
    </row>
    <row r="155" customFormat="false" ht="15" hidden="false" customHeight="false" outlineLevel="0" collapsed="false">
      <c r="A155" s="14" t="s">
        <v>5</v>
      </c>
      <c r="B155" s="14" t="s">
        <v>103</v>
      </c>
      <c r="C155" s="14" t="s">
        <v>112</v>
      </c>
      <c r="D155" s="14" t="n">
        <v>7</v>
      </c>
      <c r="E155" s="14" t="s">
        <v>82</v>
      </c>
      <c r="F155" s="14" t="n">
        <v>2</v>
      </c>
    </row>
    <row r="156" customFormat="false" ht="15" hidden="false" customHeight="false" outlineLevel="0" collapsed="false">
      <c r="A156" s="14" t="s">
        <v>5</v>
      </c>
      <c r="B156" s="14" t="s">
        <v>124</v>
      </c>
      <c r="C156" s="14" t="s">
        <v>117</v>
      </c>
      <c r="D156" s="14" t="n">
        <v>2</v>
      </c>
      <c r="E156" s="14" t="s">
        <v>82</v>
      </c>
      <c r="F156" s="14" t="n">
        <v>3</v>
      </c>
    </row>
    <row r="157" customFormat="false" ht="15" hidden="false" customHeight="false" outlineLevel="0" collapsed="false">
      <c r="A157" s="14" t="s">
        <v>5</v>
      </c>
      <c r="B157" s="14" t="s">
        <v>116</v>
      </c>
      <c r="C157" s="14" t="s">
        <v>66</v>
      </c>
      <c r="D157" s="14" t="n">
        <v>1</v>
      </c>
      <c r="E157" s="14" t="s">
        <v>82</v>
      </c>
      <c r="F157" s="14" t="n">
        <v>3</v>
      </c>
    </row>
    <row r="158" customFormat="false" ht="15" hidden="false" customHeight="false" outlineLevel="0" collapsed="false">
      <c r="A158" s="14" t="s">
        <v>5</v>
      </c>
      <c r="B158" s="14" t="s">
        <v>116</v>
      </c>
      <c r="C158" s="14" t="s">
        <v>70</v>
      </c>
      <c r="D158" s="14" t="n">
        <v>1</v>
      </c>
      <c r="E158" s="14" t="s">
        <v>82</v>
      </c>
      <c r="F158" s="14" t="n">
        <v>3</v>
      </c>
    </row>
    <row r="159" customFormat="false" ht="15" hidden="false" customHeight="false" outlineLevel="0" collapsed="false">
      <c r="A159" s="14" t="s">
        <v>5</v>
      </c>
      <c r="B159" s="14" t="s">
        <v>105</v>
      </c>
      <c r="C159" s="14" t="s">
        <v>70</v>
      </c>
      <c r="D159" s="14" t="n">
        <v>1</v>
      </c>
      <c r="E159" s="14" t="s">
        <v>82</v>
      </c>
      <c r="F159" s="14" t="n">
        <v>8</v>
      </c>
    </row>
    <row r="160" customFormat="false" ht="15" hidden="false" customHeight="false" outlineLevel="0" collapsed="false">
      <c r="A160" s="14" t="s">
        <v>5</v>
      </c>
      <c r="B160" s="14" t="s">
        <v>105</v>
      </c>
      <c r="C160" s="14" t="s">
        <v>89</v>
      </c>
      <c r="D160" s="14" t="n">
        <v>1</v>
      </c>
      <c r="E160" s="14" t="s">
        <v>82</v>
      </c>
      <c r="F160" s="14" t="n">
        <v>8</v>
      </c>
    </row>
    <row r="161" customFormat="false" ht="15" hidden="false" customHeight="false" outlineLevel="0" collapsed="false">
      <c r="A161" s="14" t="s">
        <v>5</v>
      </c>
      <c r="B161" s="14" t="s">
        <v>125</v>
      </c>
      <c r="C161" s="14" t="s">
        <v>70</v>
      </c>
      <c r="D161" s="14" t="n">
        <v>1</v>
      </c>
      <c r="E161" s="14" t="s">
        <v>83</v>
      </c>
      <c r="F161" s="14" t="n">
        <v>2</v>
      </c>
    </row>
    <row r="162" customFormat="false" ht="15" hidden="false" customHeight="false" outlineLevel="0" collapsed="false">
      <c r="A162" s="14" t="s">
        <v>5</v>
      </c>
      <c r="B162" s="14" t="s">
        <v>125</v>
      </c>
      <c r="C162" s="14" t="s">
        <v>69</v>
      </c>
      <c r="D162" s="14" t="n">
        <v>4</v>
      </c>
      <c r="E162" s="14" t="s">
        <v>90</v>
      </c>
      <c r="F162" s="14" t="n">
        <v>2</v>
      </c>
    </row>
    <row r="163" customFormat="false" ht="15" hidden="false" customHeight="false" outlineLevel="0" collapsed="false">
      <c r="A163" s="14" t="s">
        <v>5</v>
      </c>
      <c r="B163" s="14" t="s">
        <v>125</v>
      </c>
      <c r="C163" s="14" t="s">
        <v>66</v>
      </c>
      <c r="D163" s="14" t="n">
        <v>2</v>
      </c>
      <c r="E163" s="14" t="s">
        <v>90</v>
      </c>
      <c r="F163" s="14" t="n">
        <v>2</v>
      </c>
    </row>
    <row r="164" customFormat="false" ht="15" hidden="false" customHeight="false" outlineLevel="0" collapsed="false">
      <c r="A164" s="14" t="s">
        <v>5</v>
      </c>
      <c r="B164" s="14" t="s">
        <v>125</v>
      </c>
      <c r="C164" s="14" t="s">
        <v>117</v>
      </c>
      <c r="D164" s="14" t="n">
        <v>2</v>
      </c>
      <c r="E164" s="14" t="s">
        <v>82</v>
      </c>
      <c r="F164" s="14" t="n">
        <v>2</v>
      </c>
    </row>
    <row r="165" customFormat="false" ht="15" hidden="false" customHeight="false" outlineLevel="0" collapsed="false">
      <c r="A165" s="14" t="s">
        <v>5</v>
      </c>
      <c r="B165" s="14" t="s">
        <v>106</v>
      </c>
      <c r="C165" s="14" t="s">
        <v>114</v>
      </c>
      <c r="D165" s="14" t="n">
        <v>1</v>
      </c>
      <c r="E165" s="14" t="s">
        <v>90</v>
      </c>
      <c r="F165" s="14" t="n">
        <v>3</v>
      </c>
    </row>
    <row r="166" customFormat="false" ht="15" hidden="false" customHeight="false" outlineLevel="0" collapsed="false">
      <c r="A166" s="14" t="s">
        <v>5</v>
      </c>
      <c r="B166" s="14" t="s">
        <v>106</v>
      </c>
      <c r="C166" s="14" t="s">
        <v>71</v>
      </c>
      <c r="D166" s="14" t="n">
        <v>1</v>
      </c>
      <c r="E166" s="14" t="s">
        <v>83</v>
      </c>
      <c r="F166" s="14" t="n">
        <v>3</v>
      </c>
    </row>
    <row r="167" customFormat="false" ht="15" hidden="false" customHeight="false" outlineLevel="0" collapsed="false">
      <c r="A167" s="14" t="s">
        <v>5</v>
      </c>
      <c r="B167" s="14" t="s">
        <v>106</v>
      </c>
      <c r="C167" s="14" t="s">
        <v>117</v>
      </c>
      <c r="D167" s="14" t="n">
        <v>1</v>
      </c>
      <c r="E167" s="14" t="s">
        <v>82</v>
      </c>
      <c r="F167" s="14" t="n">
        <v>3</v>
      </c>
    </row>
    <row r="168" customFormat="false" ht="15" hidden="false" customHeight="false" outlineLevel="0" collapsed="false">
      <c r="A168" s="14" t="s">
        <v>5</v>
      </c>
      <c r="B168" s="14" t="s">
        <v>106</v>
      </c>
      <c r="C168" s="14" t="s">
        <v>89</v>
      </c>
      <c r="D168" s="14" t="n">
        <v>2</v>
      </c>
      <c r="E168" s="14" t="s">
        <v>83</v>
      </c>
      <c r="F168" s="14" t="n">
        <v>3</v>
      </c>
    </row>
    <row r="169" customFormat="false" ht="15" hidden="false" customHeight="false" outlineLevel="0" collapsed="false">
      <c r="A169" s="14" t="s">
        <v>5</v>
      </c>
      <c r="B169" s="14" t="s">
        <v>126</v>
      </c>
      <c r="C169" s="14" t="s">
        <v>117</v>
      </c>
      <c r="D169" s="14" t="n">
        <v>3</v>
      </c>
      <c r="E169" s="14" t="s">
        <v>82</v>
      </c>
      <c r="F169" s="14" t="n">
        <v>2</v>
      </c>
    </row>
    <row r="170" customFormat="false" ht="15" hidden="false" customHeight="false" outlineLevel="0" collapsed="false">
      <c r="A170" s="14" t="s">
        <v>5</v>
      </c>
      <c r="B170" s="14" t="s">
        <v>118</v>
      </c>
      <c r="C170" s="14" t="s">
        <v>71</v>
      </c>
      <c r="D170" s="14" t="n">
        <v>1</v>
      </c>
      <c r="E170" s="14" t="s">
        <v>83</v>
      </c>
      <c r="F170" s="14" t="n">
        <v>0</v>
      </c>
    </row>
    <row r="171" customFormat="false" ht="15" hidden="false" customHeight="false" outlineLevel="0" collapsed="false">
      <c r="A171" s="14" t="s">
        <v>5</v>
      </c>
      <c r="B171" s="14" t="s">
        <v>118</v>
      </c>
      <c r="C171" s="14" t="s">
        <v>68</v>
      </c>
      <c r="D171" s="14" t="n">
        <v>12</v>
      </c>
      <c r="E171" s="14" t="s">
        <v>82</v>
      </c>
      <c r="F171" s="14" t="n">
        <v>0</v>
      </c>
    </row>
    <row r="172" customFormat="false" ht="15" hidden="false" customHeight="false" outlineLevel="0" collapsed="false">
      <c r="A172" s="14" t="s">
        <v>5</v>
      </c>
      <c r="B172" s="14" t="s">
        <v>118</v>
      </c>
      <c r="C172" s="14" t="s">
        <v>71</v>
      </c>
      <c r="D172" s="14" t="n">
        <v>1</v>
      </c>
      <c r="E172" s="14" t="s">
        <v>82</v>
      </c>
      <c r="F172" s="14" t="n">
        <v>0</v>
      </c>
    </row>
    <row r="173" customFormat="false" ht="15" hidden="false" customHeight="false" outlineLevel="0" collapsed="false">
      <c r="A173" s="14" t="s">
        <v>5</v>
      </c>
      <c r="B173" s="14" t="s">
        <v>118</v>
      </c>
      <c r="C173" s="14" t="s">
        <v>67</v>
      </c>
      <c r="D173" s="14" t="n">
        <v>10</v>
      </c>
      <c r="E173" s="14" t="s">
        <v>82</v>
      </c>
      <c r="F173" s="14" t="n">
        <v>0</v>
      </c>
    </row>
    <row r="174" customFormat="false" ht="15" hidden="false" customHeight="false" outlineLevel="0" collapsed="false">
      <c r="A174" s="14" t="s">
        <v>5</v>
      </c>
      <c r="B174" s="14" t="s">
        <v>118</v>
      </c>
      <c r="C174" s="14" t="s">
        <v>98</v>
      </c>
      <c r="D174" s="14" t="n">
        <v>12</v>
      </c>
      <c r="E174" s="14" t="s">
        <v>82</v>
      </c>
      <c r="F174" s="14" t="n">
        <v>0</v>
      </c>
    </row>
    <row r="175" customFormat="false" ht="15" hidden="false" customHeight="false" outlineLevel="0" collapsed="false">
      <c r="A175" s="14" t="s">
        <v>5</v>
      </c>
      <c r="B175" s="14" t="s">
        <v>118</v>
      </c>
      <c r="C175" s="14" t="s">
        <v>67</v>
      </c>
      <c r="D175" s="14" t="n">
        <v>5</v>
      </c>
      <c r="E175" s="14" t="s">
        <v>82</v>
      </c>
      <c r="F175" s="14" t="n">
        <v>0</v>
      </c>
    </row>
    <row r="176" customFormat="false" ht="15" hidden="false" customHeight="false" outlineLevel="0" collapsed="false">
      <c r="A176" s="14" t="s">
        <v>5</v>
      </c>
      <c r="B176" s="14" t="s">
        <v>107</v>
      </c>
      <c r="C176" s="14" t="s">
        <v>65</v>
      </c>
      <c r="D176" s="14" t="n">
        <v>20</v>
      </c>
      <c r="E176" s="14" t="s">
        <v>82</v>
      </c>
      <c r="F176" s="14" t="n">
        <v>1</v>
      </c>
    </row>
    <row r="177" customFormat="false" ht="15" hidden="false" customHeight="false" outlineLevel="0" collapsed="false">
      <c r="A177" s="14" t="s">
        <v>5</v>
      </c>
      <c r="B177" s="14" t="s">
        <v>108</v>
      </c>
      <c r="C177" s="14" t="s">
        <v>71</v>
      </c>
      <c r="D177" s="14" t="n">
        <v>2</v>
      </c>
      <c r="E177" s="14" t="s">
        <v>83</v>
      </c>
      <c r="F177" s="14" t="n">
        <v>2</v>
      </c>
    </row>
    <row r="178" customFormat="false" ht="15" hidden="false" customHeight="false" outlineLevel="0" collapsed="false">
      <c r="A178" s="14" t="s">
        <v>5</v>
      </c>
      <c r="B178" s="14" t="s">
        <v>120</v>
      </c>
      <c r="C178" s="14" t="s">
        <v>71</v>
      </c>
      <c r="D178" s="14" t="n">
        <v>2</v>
      </c>
      <c r="E178" s="14" t="s">
        <v>83</v>
      </c>
      <c r="F178" s="14" t="n">
        <v>2</v>
      </c>
    </row>
    <row r="179" customFormat="false" ht="15" hidden="false" customHeight="false" outlineLevel="0" collapsed="false">
      <c r="A179" s="14" t="s">
        <v>5</v>
      </c>
      <c r="B179" s="14" t="s">
        <v>120</v>
      </c>
      <c r="C179" s="14" t="s">
        <v>93</v>
      </c>
      <c r="D179" s="14" t="n">
        <v>1</v>
      </c>
      <c r="E179" s="14" t="s">
        <v>82</v>
      </c>
      <c r="F179" s="14" t="n">
        <v>3</v>
      </c>
    </row>
    <row r="180" customFormat="false" ht="15" hidden="false" customHeight="false" outlineLevel="0" collapsed="false">
      <c r="A180" s="14" t="s">
        <v>5</v>
      </c>
      <c r="B180" s="14" t="s">
        <v>120</v>
      </c>
      <c r="C180" s="14" t="s">
        <v>71</v>
      </c>
      <c r="D180" s="14" t="n">
        <v>2</v>
      </c>
      <c r="E180" s="14" t="s">
        <v>83</v>
      </c>
      <c r="F180" s="14" t="n">
        <v>3</v>
      </c>
    </row>
    <row r="181" customFormat="false" ht="15" hidden="false" customHeight="false" outlineLevel="0" collapsed="false">
      <c r="A181" s="14" t="s">
        <v>5</v>
      </c>
      <c r="B181" s="14" t="s">
        <v>120</v>
      </c>
      <c r="C181" s="14" t="s">
        <v>112</v>
      </c>
      <c r="D181" s="14" t="n">
        <v>1</v>
      </c>
      <c r="E181" s="14" t="s">
        <v>82</v>
      </c>
      <c r="F181" s="14" t="n">
        <v>3</v>
      </c>
    </row>
    <row r="182" customFormat="false" ht="15" hidden="false" customHeight="false" outlineLevel="0" collapsed="false">
      <c r="A182" s="14" t="s">
        <v>5</v>
      </c>
      <c r="B182" s="14" t="s">
        <v>120</v>
      </c>
      <c r="C182" s="14" t="s">
        <v>68</v>
      </c>
      <c r="D182" s="14" t="n">
        <v>4</v>
      </c>
      <c r="E182" s="14" t="s">
        <v>82</v>
      </c>
      <c r="F182" s="14" t="n">
        <v>0</v>
      </c>
    </row>
    <row r="183" customFormat="false" ht="15" hidden="false" customHeight="false" outlineLevel="0" collapsed="false">
      <c r="A183" s="14" t="s">
        <v>5</v>
      </c>
      <c r="B183" s="14" t="s">
        <v>120</v>
      </c>
      <c r="C183" s="14" t="s">
        <v>71</v>
      </c>
      <c r="D183" s="14" t="n">
        <v>1</v>
      </c>
      <c r="E183" s="14" t="s">
        <v>90</v>
      </c>
      <c r="F183" s="14" t="n">
        <v>3</v>
      </c>
    </row>
    <row r="184" customFormat="false" ht="15" hidden="false" customHeight="false" outlineLevel="0" collapsed="false">
      <c r="A184" s="14" t="s">
        <v>5</v>
      </c>
      <c r="B184" s="14" t="s">
        <v>121</v>
      </c>
      <c r="C184" s="14" t="s">
        <v>67</v>
      </c>
      <c r="D184" s="14" t="n">
        <v>30</v>
      </c>
      <c r="E184" s="14" t="s">
        <v>82</v>
      </c>
      <c r="F184" s="14" t="n">
        <v>4</v>
      </c>
    </row>
    <row r="185" customFormat="false" ht="15" hidden="false" customHeight="false" outlineLevel="0" collapsed="false">
      <c r="A185" s="14" t="s">
        <v>5</v>
      </c>
      <c r="B185" s="14" t="s">
        <v>121</v>
      </c>
      <c r="C185" s="14" t="s">
        <v>71</v>
      </c>
      <c r="D185" s="14" t="n">
        <v>30</v>
      </c>
      <c r="E185" s="14" t="s">
        <v>83</v>
      </c>
      <c r="F185" s="14" t="n">
        <v>4</v>
      </c>
    </row>
    <row r="186" customFormat="false" ht="15" hidden="false" customHeight="false" outlineLevel="0" collapsed="false">
      <c r="A186" s="14" t="s">
        <v>5</v>
      </c>
      <c r="B186" s="14" t="s">
        <v>121</v>
      </c>
      <c r="C186" s="14" t="s">
        <v>93</v>
      </c>
      <c r="D186" s="14" t="n">
        <v>1</v>
      </c>
      <c r="E186" s="14" t="s">
        <v>82</v>
      </c>
      <c r="F186" s="14" t="n">
        <v>4</v>
      </c>
    </row>
    <row r="187" customFormat="false" ht="15" hidden="false" customHeight="false" outlineLevel="0" collapsed="false">
      <c r="A187" s="14" t="s">
        <v>5</v>
      </c>
      <c r="B187" s="14" t="s">
        <v>121</v>
      </c>
      <c r="C187" s="14" t="s">
        <v>68</v>
      </c>
      <c r="D187" s="14" t="n">
        <v>1</v>
      </c>
      <c r="E187" s="14" t="s">
        <v>82</v>
      </c>
      <c r="F187" s="14" t="n">
        <v>4</v>
      </c>
    </row>
    <row r="188" customFormat="false" ht="15" hidden="false" customHeight="false" outlineLevel="0" collapsed="false">
      <c r="A188" s="14" t="s">
        <v>5</v>
      </c>
      <c r="B188" s="14" t="s">
        <v>121</v>
      </c>
      <c r="C188" s="14" t="s">
        <v>66</v>
      </c>
      <c r="D188" s="14" t="n">
        <v>11</v>
      </c>
      <c r="E188" s="14" t="s">
        <v>82</v>
      </c>
      <c r="F188" s="14" t="n">
        <v>4</v>
      </c>
    </row>
    <row r="189" customFormat="false" ht="15" hidden="false" customHeight="false" outlineLevel="0" collapsed="false">
      <c r="A189" s="14" t="s">
        <v>5</v>
      </c>
      <c r="B189" s="14" t="s">
        <v>121</v>
      </c>
      <c r="C189" s="14" t="s">
        <v>67</v>
      </c>
      <c r="D189" s="14" t="n">
        <v>31</v>
      </c>
      <c r="E189" s="14" t="s">
        <v>82</v>
      </c>
      <c r="F189" s="14" t="n">
        <v>4</v>
      </c>
    </row>
    <row r="190" customFormat="false" ht="15" hidden="false" customHeight="false" outlineLevel="0" collapsed="false">
      <c r="A190" s="14" t="s">
        <v>5</v>
      </c>
      <c r="B190" s="14" t="s">
        <v>121</v>
      </c>
      <c r="C190" s="14" t="s">
        <v>117</v>
      </c>
      <c r="D190" s="14" t="n">
        <v>5</v>
      </c>
      <c r="E190" s="14" t="s">
        <v>83</v>
      </c>
      <c r="F190" s="14" t="n">
        <v>4</v>
      </c>
    </row>
    <row r="191" customFormat="false" ht="15" hidden="false" customHeight="false" outlineLevel="0" collapsed="false">
      <c r="A191" s="14" t="s">
        <v>5</v>
      </c>
      <c r="B191" s="14" t="s">
        <v>123</v>
      </c>
      <c r="C191" s="14" t="s">
        <v>67</v>
      </c>
      <c r="D191" s="14" t="n">
        <v>1</v>
      </c>
      <c r="E191" s="14" t="s">
        <v>82</v>
      </c>
      <c r="F191" s="14" t="n">
        <v>0</v>
      </c>
    </row>
    <row r="192" customFormat="false" ht="15" hidden="false" customHeight="false" outlineLevel="0" collapsed="false">
      <c r="A192" s="14" t="s">
        <v>5</v>
      </c>
      <c r="B192" s="14" t="s">
        <v>123</v>
      </c>
      <c r="C192" s="14" t="s">
        <v>66</v>
      </c>
      <c r="D192" s="14" t="n">
        <v>28</v>
      </c>
      <c r="E192" s="14" t="s">
        <v>82</v>
      </c>
      <c r="F192" s="14" t="n">
        <v>0</v>
      </c>
    </row>
    <row r="193" customFormat="false" ht="15" hidden="false" customHeight="false" outlineLevel="0" collapsed="false">
      <c r="A193" s="14" t="s">
        <v>5</v>
      </c>
      <c r="B193" s="14" t="s">
        <v>123</v>
      </c>
      <c r="C193" s="14" t="s">
        <v>67</v>
      </c>
      <c r="D193" s="14" t="n">
        <v>26</v>
      </c>
      <c r="E193" s="14" t="s">
        <v>82</v>
      </c>
      <c r="F193" s="14" t="n">
        <v>0</v>
      </c>
    </row>
    <row r="194" customFormat="false" ht="15" hidden="false" customHeight="false" outlineLevel="0" collapsed="false">
      <c r="A194" s="14" t="s">
        <v>5</v>
      </c>
      <c r="B194" s="14" t="s">
        <v>123</v>
      </c>
      <c r="C194" s="14" t="s">
        <v>117</v>
      </c>
      <c r="D194" s="14" t="n">
        <v>4</v>
      </c>
      <c r="E194" s="14" t="s">
        <v>90</v>
      </c>
      <c r="F194" s="14" t="n">
        <v>0</v>
      </c>
    </row>
    <row r="195" customFormat="false" ht="15" hidden="false" customHeight="false" outlineLevel="0" collapsed="false">
      <c r="A195" s="14" t="s">
        <v>5</v>
      </c>
      <c r="B195" s="14" t="s">
        <v>123</v>
      </c>
      <c r="C195" s="14" t="s">
        <v>98</v>
      </c>
      <c r="D195" s="14" t="n">
        <v>2</v>
      </c>
      <c r="E195" s="14" t="s">
        <v>82</v>
      </c>
      <c r="F195" s="1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1" min="9" style="0" width="10"/>
  </cols>
  <sheetData>
    <row r="1" customFormat="false" ht="31.5" hidden="false" customHeight="true" outlineLevel="0" collapsed="false">
      <c r="A1" s="3" t="s">
        <v>127</v>
      </c>
      <c r="B1" s="3" t="s">
        <v>128</v>
      </c>
      <c r="C1" s="3" t="s">
        <v>129</v>
      </c>
      <c r="D1" s="3" t="s">
        <v>3</v>
      </c>
      <c r="E1" s="3" t="s">
        <v>4</v>
      </c>
      <c r="F1" s="3" t="s">
        <v>5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</row>
    <row r="2" customFormat="false" ht="15" hidden="false" customHeight="false" outlineLevel="0" collapsed="false">
      <c r="A2" s="14" t="s">
        <v>65</v>
      </c>
      <c r="B2" s="14" t="s">
        <v>135</v>
      </c>
      <c r="C2" s="14" t="s">
        <v>136</v>
      </c>
      <c r="D2" s="14" t="n">
        <f aca="false">SUMIFS(Data!$D$2:$D$195,Data!$C$2:$C$195,$A2,Data!$A$2:$A$195,"28.09.2026")</f>
        <v>153</v>
      </c>
      <c r="E2" s="14" t="n">
        <f aca="false">SUMIFS(Data!$D$2:$D$195,Data!$C$2:$C$195,$A2,Data!$A$2:$A$195,"29.09.2026")</f>
        <v>69</v>
      </c>
      <c r="F2" s="14" t="n">
        <f aca="false">SUMIFS(Data!$D$2:$D$195,Data!$C$2:$C$195,$A2,Data!$A$2:$A$195,"30.09.2026")</f>
        <v>20</v>
      </c>
      <c r="G2" s="14" t="n">
        <f aca="false">SUM(D2:F2)</f>
        <v>242</v>
      </c>
      <c r="H2" s="14" t="n">
        <f aca="false">SUMIFS(Data!$D$2:$D$195,Data!$C$2:$C$195,$A2,Data!$E$2:$E$195,"I")</f>
        <v>208</v>
      </c>
      <c r="I2" s="14" t="n">
        <f aca="false">SUMIFS(Data!$D$2:$D$195,Data!$C$2:$C$195,$A2,Data!$E$2:$E$195,"F")</f>
        <v>26</v>
      </c>
      <c r="J2" s="14" t="n">
        <f aca="false">SUMIFS(Data!$D$2:$D$195,Data!$C$2:$C$195,$A2,Data!$E$2:$E$195,"S")</f>
        <v>0</v>
      </c>
      <c r="K2" s="14" t="n">
        <f aca="false">SUMIFS(Data!$D$2:$D$195,Data!$C$2:$C$195,$A2,Data!$E$2:$E$195,"W")</f>
        <v>8</v>
      </c>
    </row>
    <row r="3" customFormat="false" ht="15" hidden="false" customHeight="false" outlineLevel="0" collapsed="false">
      <c r="A3" s="14" t="s">
        <v>66</v>
      </c>
      <c r="B3" s="14" t="s">
        <v>137</v>
      </c>
      <c r="C3" s="14" t="s">
        <v>138</v>
      </c>
      <c r="D3" s="14" t="n">
        <f aca="false">SUMIFS(Data!$D$2:$D$195,Data!$C$2:$C$195,$A3,Data!$A$2:$A$195,"28.09.2026")</f>
        <v>0</v>
      </c>
      <c r="E3" s="14" t="n">
        <f aca="false">SUMIFS(Data!$D$2:$D$195,Data!$C$2:$C$195,$A3,Data!$A$2:$A$195,"29.09.2026")</f>
        <v>133</v>
      </c>
      <c r="F3" s="14" t="n">
        <f aca="false">SUMIFS(Data!$D$2:$D$195,Data!$C$2:$C$195,$A3,Data!$A$2:$A$195,"30.09.2026")</f>
        <v>42</v>
      </c>
      <c r="G3" s="14" t="n">
        <f aca="false">SUM(D3:F3)</f>
        <v>175</v>
      </c>
      <c r="H3" s="14" t="n">
        <f aca="false">SUMIFS(Data!$D$2:$D$195,Data!$C$2:$C$195,$A3,Data!$E$2:$E$195,"I")</f>
        <v>156</v>
      </c>
      <c r="I3" s="14" t="n">
        <f aca="false">SUMIFS(Data!$D$2:$D$195,Data!$C$2:$C$195,$A3,Data!$E$2:$E$195,"F")</f>
        <v>19</v>
      </c>
      <c r="J3" s="14" t="n">
        <f aca="false">SUMIFS(Data!$D$2:$D$195,Data!$C$2:$C$195,$A3,Data!$E$2:$E$195,"S")</f>
        <v>0</v>
      </c>
      <c r="K3" s="14" t="n">
        <f aca="false">SUMIFS(Data!$D$2:$D$195,Data!$C$2:$C$195,$A3,Data!$E$2:$E$195,"W")</f>
        <v>0</v>
      </c>
    </row>
    <row r="4" customFormat="false" ht="15" hidden="false" customHeight="false" outlineLevel="0" collapsed="false">
      <c r="A4" s="14" t="s">
        <v>67</v>
      </c>
      <c r="B4" s="14" t="s">
        <v>139</v>
      </c>
      <c r="C4" s="14" t="s">
        <v>140</v>
      </c>
      <c r="D4" s="14" t="n">
        <f aca="false">SUMIFS(Data!$D$2:$D$195,Data!$C$2:$C$195,$A4,Data!$A$2:$A$195,"28.09.2026")</f>
        <v>17</v>
      </c>
      <c r="E4" s="14" t="n">
        <f aca="false">SUMIFS(Data!$D$2:$D$195,Data!$C$2:$C$195,$A4,Data!$A$2:$A$195,"29.09.2026")</f>
        <v>52</v>
      </c>
      <c r="F4" s="14" t="n">
        <f aca="false">SUMIFS(Data!$D$2:$D$195,Data!$C$2:$C$195,$A4,Data!$A$2:$A$195,"30.09.2026")</f>
        <v>103</v>
      </c>
      <c r="G4" s="14" t="n">
        <f aca="false">SUM(D4:F4)</f>
        <v>172</v>
      </c>
      <c r="H4" s="14" t="n">
        <f aca="false">SUMIFS(Data!$D$2:$D$195,Data!$C$2:$C$195,$A4,Data!$E$2:$E$195,"I")</f>
        <v>169</v>
      </c>
      <c r="I4" s="14" t="n">
        <f aca="false">SUMIFS(Data!$D$2:$D$195,Data!$C$2:$C$195,$A4,Data!$E$2:$E$195,"F")</f>
        <v>0</v>
      </c>
      <c r="J4" s="14" t="n">
        <f aca="false">SUMIFS(Data!$D$2:$D$195,Data!$C$2:$C$195,$A4,Data!$E$2:$E$195,"S")</f>
        <v>3</v>
      </c>
      <c r="K4" s="14" t="n">
        <f aca="false">SUMIFS(Data!$D$2:$D$195,Data!$C$2:$C$195,$A4,Data!$E$2:$E$195,"W")</f>
        <v>0</v>
      </c>
    </row>
    <row r="5" customFormat="false" ht="15" hidden="false" customHeight="false" outlineLevel="0" collapsed="false">
      <c r="A5" s="14" t="s">
        <v>68</v>
      </c>
      <c r="B5" s="14" t="s">
        <v>141</v>
      </c>
      <c r="C5" s="14" t="s">
        <v>142</v>
      </c>
      <c r="D5" s="14" t="n">
        <f aca="false">SUMIFS(Data!$D$2:$D$195,Data!$C$2:$C$195,$A5,Data!$A$2:$A$195,"28.09.2026")</f>
        <v>41</v>
      </c>
      <c r="E5" s="14" t="n">
        <f aca="false">SUMIFS(Data!$D$2:$D$195,Data!$C$2:$C$195,$A5,Data!$A$2:$A$195,"29.09.2026")</f>
        <v>61</v>
      </c>
      <c r="F5" s="14" t="n">
        <f aca="false">SUMIFS(Data!$D$2:$D$195,Data!$C$2:$C$195,$A5,Data!$A$2:$A$195,"30.09.2026")</f>
        <v>17</v>
      </c>
      <c r="G5" s="14" t="n">
        <f aca="false">SUM(D5:F5)</f>
        <v>119</v>
      </c>
      <c r="H5" s="14" t="n">
        <f aca="false">SUMIFS(Data!$D$2:$D$195,Data!$C$2:$C$195,$A5,Data!$E$2:$E$195,"I")</f>
        <v>86</v>
      </c>
      <c r="I5" s="14" t="n">
        <f aca="false">SUMIFS(Data!$D$2:$D$195,Data!$C$2:$C$195,$A5,Data!$E$2:$E$195,"F")</f>
        <v>0</v>
      </c>
      <c r="J5" s="14" t="n">
        <f aca="false">SUMIFS(Data!$D$2:$D$195,Data!$C$2:$C$195,$A5,Data!$E$2:$E$195,"S")</f>
        <v>33</v>
      </c>
      <c r="K5" s="14" t="n">
        <f aca="false">SUMIFS(Data!$D$2:$D$195,Data!$C$2:$C$195,$A5,Data!$E$2:$E$195,"W")</f>
        <v>0</v>
      </c>
    </row>
    <row r="6" customFormat="false" ht="15" hidden="false" customHeight="false" outlineLevel="0" collapsed="false">
      <c r="A6" s="14" t="s">
        <v>69</v>
      </c>
      <c r="B6" s="14" t="s">
        <v>143</v>
      </c>
      <c r="C6" s="14" t="s">
        <v>144</v>
      </c>
      <c r="D6" s="14" t="n">
        <f aca="false">SUMIFS(Data!$D$2:$D$195,Data!$C$2:$C$195,$A6,Data!$A$2:$A$195,"28.09.2026")</f>
        <v>6</v>
      </c>
      <c r="E6" s="14" t="n">
        <f aca="false">SUMIFS(Data!$D$2:$D$195,Data!$C$2:$C$195,$A6,Data!$A$2:$A$195,"29.09.2026")</f>
        <v>65</v>
      </c>
      <c r="F6" s="14" t="n">
        <f aca="false">SUMIFS(Data!$D$2:$D$195,Data!$C$2:$C$195,$A6,Data!$A$2:$A$195,"30.09.2026")</f>
        <v>4</v>
      </c>
      <c r="G6" s="14" t="n">
        <f aca="false">SUM(D6:F6)</f>
        <v>75</v>
      </c>
      <c r="H6" s="14" t="n">
        <f aca="false">SUMIFS(Data!$D$2:$D$195,Data!$C$2:$C$195,$A6,Data!$E$2:$E$195,"I")</f>
        <v>65</v>
      </c>
      <c r="I6" s="14" t="n">
        <f aca="false">SUMIFS(Data!$D$2:$D$195,Data!$C$2:$C$195,$A6,Data!$E$2:$E$195,"F")</f>
        <v>10</v>
      </c>
      <c r="J6" s="14" t="n">
        <f aca="false">SUMIFS(Data!$D$2:$D$195,Data!$C$2:$C$195,$A6,Data!$E$2:$E$195,"S")</f>
        <v>0</v>
      </c>
      <c r="K6" s="14" t="n">
        <f aca="false">SUMIFS(Data!$D$2:$D$195,Data!$C$2:$C$195,$A6,Data!$E$2:$E$195,"W")</f>
        <v>0</v>
      </c>
    </row>
    <row r="7" customFormat="false" ht="15" hidden="false" customHeight="false" outlineLevel="0" collapsed="false">
      <c r="A7" s="14" t="s">
        <v>70</v>
      </c>
      <c r="B7" s="14" t="s">
        <v>145</v>
      </c>
      <c r="C7" s="14" t="s">
        <v>146</v>
      </c>
      <c r="D7" s="14" t="n">
        <f aca="false">SUMIFS(Data!$D$2:$D$195,Data!$C$2:$C$195,$A7,Data!$A$2:$A$195,"28.09.2026")</f>
        <v>47</v>
      </c>
      <c r="E7" s="14" t="n">
        <f aca="false">SUMIFS(Data!$D$2:$D$195,Data!$C$2:$C$195,$A7,Data!$A$2:$A$195,"29.09.2026")</f>
        <v>22</v>
      </c>
      <c r="F7" s="14" t="n">
        <f aca="false">SUMIFS(Data!$D$2:$D$195,Data!$C$2:$C$195,$A7,Data!$A$2:$A$195,"30.09.2026")</f>
        <v>3</v>
      </c>
      <c r="G7" s="14" t="n">
        <f aca="false">SUM(D7:F7)</f>
        <v>72</v>
      </c>
      <c r="H7" s="14" t="n">
        <f aca="false">SUMIFS(Data!$D$2:$D$195,Data!$C$2:$C$195,$A7,Data!$E$2:$E$195,"I")</f>
        <v>23</v>
      </c>
      <c r="I7" s="14" t="n">
        <f aca="false">SUMIFS(Data!$D$2:$D$195,Data!$C$2:$C$195,$A7,Data!$E$2:$E$195,"F")</f>
        <v>3</v>
      </c>
      <c r="J7" s="14" t="n">
        <f aca="false">SUMIFS(Data!$D$2:$D$195,Data!$C$2:$C$195,$A7,Data!$E$2:$E$195,"S")</f>
        <v>27</v>
      </c>
      <c r="K7" s="14" t="n">
        <f aca="false">SUMIFS(Data!$D$2:$D$195,Data!$C$2:$C$195,$A7,Data!$E$2:$E$195,"W")</f>
        <v>19</v>
      </c>
    </row>
    <row r="8" customFormat="false" ht="15" hidden="false" customHeight="false" outlineLevel="0" collapsed="false">
      <c r="A8" s="14" t="s">
        <v>71</v>
      </c>
      <c r="B8" s="14" t="s">
        <v>147</v>
      </c>
      <c r="C8" s="14" t="s">
        <v>148</v>
      </c>
      <c r="D8" s="14" t="n">
        <f aca="false">SUMIFS(Data!$D$2:$D$195,Data!$C$2:$C$195,$A8,Data!$A$2:$A$195,"28.09.2026")</f>
        <v>13</v>
      </c>
      <c r="E8" s="14" t="n">
        <f aca="false">SUMIFS(Data!$D$2:$D$195,Data!$C$2:$C$195,$A8,Data!$A$2:$A$195,"29.09.2026")</f>
        <v>14</v>
      </c>
      <c r="F8" s="14" t="n">
        <f aca="false">SUMIFS(Data!$D$2:$D$195,Data!$C$2:$C$195,$A8,Data!$A$2:$A$195,"30.09.2026")</f>
        <v>40</v>
      </c>
      <c r="G8" s="14" t="n">
        <f aca="false">SUM(D8:F8)</f>
        <v>67</v>
      </c>
      <c r="H8" s="14" t="n">
        <f aca="false">SUMIFS(Data!$D$2:$D$195,Data!$C$2:$C$195,$A8,Data!$E$2:$E$195,"I")</f>
        <v>1</v>
      </c>
      <c r="I8" s="14" t="n">
        <f aca="false">SUMIFS(Data!$D$2:$D$195,Data!$C$2:$C$195,$A8,Data!$E$2:$E$195,"F")</f>
        <v>3</v>
      </c>
      <c r="J8" s="14" t="n">
        <f aca="false">SUMIFS(Data!$D$2:$D$195,Data!$C$2:$C$195,$A8,Data!$E$2:$E$195,"S")</f>
        <v>63</v>
      </c>
      <c r="K8" s="14" t="n">
        <f aca="false">SUMIFS(Data!$D$2:$D$195,Data!$C$2:$C$195,$A8,Data!$E$2:$E$195,"W")</f>
        <v>0</v>
      </c>
    </row>
    <row r="9" customFormat="false" ht="15" hidden="false" customHeight="false" outlineLevel="0" collapsed="false">
      <c r="A9" s="14" t="s">
        <v>72</v>
      </c>
      <c r="B9" s="14" t="s">
        <v>149</v>
      </c>
      <c r="C9" s="14" t="s">
        <v>150</v>
      </c>
      <c r="D9" s="14" t="n">
        <f aca="false">SUMIFS(Data!$D$2:$D$195,Data!$C$2:$C$195,$A9,Data!$A$2:$A$195,"28.09.2026")</f>
        <v>19</v>
      </c>
      <c r="E9" s="14" t="n">
        <f aca="false">SUMIFS(Data!$D$2:$D$195,Data!$C$2:$C$195,$A9,Data!$A$2:$A$195,"29.09.2026")</f>
        <v>35</v>
      </c>
      <c r="F9" s="14" t="n">
        <f aca="false">SUMIFS(Data!$D$2:$D$195,Data!$C$2:$C$195,$A9,Data!$A$2:$A$195,"30.09.2026")</f>
        <v>0</v>
      </c>
      <c r="G9" s="14" t="n">
        <f aca="false">SUM(D9:F9)</f>
        <v>54</v>
      </c>
      <c r="H9" s="14" t="n">
        <f aca="false">SUMIFS(Data!$D$2:$D$195,Data!$C$2:$C$195,$A9,Data!$E$2:$E$195,"I")</f>
        <v>50</v>
      </c>
      <c r="I9" s="14" t="n">
        <f aca="false">SUMIFS(Data!$D$2:$D$195,Data!$C$2:$C$195,$A9,Data!$E$2:$E$195,"F")</f>
        <v>2</v>
      </c>
      <c r="J9" s="14" t="n">
        <f aca="false">SUMIFS(Data!$D$2:$D$195,Data!$C$2:$C$195,$A9,Data!$E$2:$E$195,"S")</f>
        <v>0</v>
      </c>
      <c r="K9" s="14" t="n">
        <f aca="false">SUMIFS(Data!$D$2:$D$195,Data!$C$2:$C$195,$A9,Data!$E$2:$E$195,"W")</f>
        <v>2</v>
      </c>
    </row>
    <row r="10" customFormat="false" ht="15" hidden="false" customHeight="false" outlineLevel="0" collapsed="false">
      <c r="A10" s="14" t="s">
        <v>89</v>
      </c>
      <c r="B10" s="14" t="s">
        <v>151</v>
      </c>
      <c r="C10" s="14" t="s">
        <v>152</v>
      </c>
      <c r="D10" s="14" t="n">
        <f aca="false">SUMIFS(Data!$D$2:$D$195,Data!$C$2:$C$195,$A10,Data!$A$2:$A$195,"28.09.2026")</f>
        <v>15</v>
      </c>
      <c r="E10" s="14" t="n">
        <f aca="false">SUMIFS(Data!$D$2:$D$195,Data!$C$2:$C$195,$A10,Data!$A$2:$A$195,"29.09.2026")</f>
        <v>3</v>
      </c>
      <c r="F10" s="14" t="n">
        <f aca="false">SUMIFS(Data!$D$2:$D$195,Data!$C$2:$C$195,$A10,Data!$A$2:$A$195,"30.09.2026")</f>
        <v>3</v>
      </c>
      <c r="G10" s="14" t="n">
        <f aca="false">SUM(D10:F10)</f>
        <v>21</v>
      </c>
      <c r="H10" s="14" t="n">
        <f aca="false">SUMIFS(Data!$D$2:$D$195,Data!$C$2:$C$195,$A10,Data!$E$2:$E$195,"I")</f>
        <v>2</v>
      </c>
      <c r="I10" s="14" t="n">
        <f aca="false">SUMIFS(Data!$D$2:$D$195,Data!$C$2:$C$195,$A10,Data!$E$2:$E$195,"F")</f>
        <v>4</v>
      </c>
      <c r="J10" s="14" t="n">
        <f aca="false">SUMIFS(Data!$D$2:$D$195,Data!$C$2:$C$195,$A10,Data!$E$2:$E$195,"S")</f>
        <v>15</v>
      </c>
      <c r="K10" s="14" t="n">
        <f aca="false">SUMIFS(Data!$D$2:$D$195,Data!$C$2:$C$195,$A10,Data!$E$2:$E$195,"W")</f>
        <v>0</v>
      </c>
    </row>
    <row r="11" customFormat="false" ht="15" hidden="false" customHeight="false" outlineLevel="0" collapsed="false">
      <c r="A11" s="14" t="s">
        <v>117</v>
      </c>
      <c r="B11" s="14" t="s">
        <v>153</v>
      </c>
      <c r="C11" s="14" t="s">
        <v>154</v>
      </c>
      <c r="D11" s="14" t="n">
        <f aca="false">SUMIFS(Data!$D$2:$D$195,Data!$C$2:$C$195,$A11,Data!$A$2:$A$195,"28.09.2026")</f>
        <v>0</v>
      </c>
      <c r="E11" s="14" t="n">
        <f aca="false">SUMIFS(Data!$D$2:$D$195,Data!$C$2:$C$195,$A11,Data!$A$2:$A$195,"29.09.2026")</f>
        <v>2</v>
      </c>
      <c r="F11" s="14" t="n">
        <f aca="false">SUMIFS(Data!$D$2:$D$195,Data!$C$2:$C$195,$A11,Data!$A$2:$A$195,"30.09.2026")</f>
        <v>17</v>
      </c>
      <c r="G11" s="14" t="n">
        <f aca="false">SUM(D11:F11)</f>
        <v>19</v>
      </c>
      <c r="H11" s="14" t="n">
        <f aca="false">SUMIFS(Data!$D$2:$D$195,Data!$C$2:$C$195,$A11,Data!$E$2:$E$195,"I")</f>
        <v>8</v>
      </c>
      <c r="I11" s="14" t="n">
        <f aca="false">SUMIFS(Data!$D$2:$D$195,Data!$C$2:$C$195,$A11,Data!$E$2:$E$195,"F")</f>
        <v>4</v>
      </c>
      <c r="J11" s="14" t="n">
        <f aca="false">SUMIFS(Data!$D$2:$D$195,Data!$C$2:$C$195,$A11,Data!$E$2:$E$195,"S")</f>
        <v>7</v>
      </c>
      <c r="K11" s="14" t="n">
        <f aca="false">SUMIFS(Data!$D$2:$D$195,Data!$C$2:$C$195,$A11,Data!$E$2:$E$195,"W")</f>
        <v>0</v>
      </c>
    </row>
    <row r="12" customFormat="false" ht="15" hidden="false" customHeight="false" outlineLevel="0" collapsed="false">
      <c r="A12" s="14" t="s">
        <v>98</v>
      </c>
      <c r="B12" s="14" t="s">
        <v>155</v>
      </c>
      <c r="C12" s="14" t="s">
        <v>156</v>
      </c>
      <c r="D12" s="14" t="n">
        <f aca="false">SUMIFS(Data!$D$2:$D$195,Data!$C$2:$C$195,$A12,Data!$A$2:$A$195,"28.09.2026")</f>
        <v>2</v>
      </c>
      <c r="E12" s="14" t="n">
        <f aca="false">SUMIFS(Data!$D$2:$D$195,Data!$C$2:$C$195,$A12,Data!$A$2:$A$195,"29.09.2026")</f>
        <v>2</v>
      </c>
      <c r="F12" s="14" t="n">
        <f aca="false">SUMIFS(Data!$D$2:$D$195,Data!$C$2:$C$195,$A12,Data!$A$2:$A$195,"30.09.2026")</f>
        <v>14</v>
      </c>
      <c r="G12" s="14" t="n">
        <f aca="false">SUM(D12:F12)</f>
        <v>18</v>
      </c>
      <c r="H12" s="14" t="n">
        <f aca="false">SUMIFS(Data!$D$2:$D$195,Data!$C$2:$C$195,$A12,Data!$E$2:$E$195,"I")</f>
        <v>16</v>
      </c>
      <c r="I12" s="14" t="n">
        <f aca="false">SUMIFS(Data!$D$2:$D$195,Data!$C$2:$C$195,$A12,Data!$E$2:$E$195,"F")</f>
        <v>2</v>
      </c>
      <c r="J12" s="14" t="n">
        <f aca="false">SUMIFS(Data!$D$2:$D$195,Data!$C$2:$C$195,$A12,Data!$E$2:$E$195,"S")</f>
        <v>0</v>
      </c>
      <c r="K12" s="14" t="n">
        <f aca="false">SUMIFS(Data!$D$2:$D$195,Data!$C$2:$C$195,$A12,Data!$E$2:$E$195,"W")</f>
        <v>0</v>
      </c>
    </row>
    <row r="13" customFormat="false" ht="15" hidden="false" customHeight="false" outlineLevel="0" collapsed="false">
      <c r="A13" s="14" t="s">
        <v>112</v>
      </c>
      <c r="B13" s="14" t="s">
        <v>157</v>
      </c>
      <c r="C13" s="14" t="s">
        <v>158</v>
      </c>
      <c r="D13" s="14" t="n">
        <f aca="false">SUMIFS(Data!$D$2:$D$195,Data!$C$2:$C$195,$A13,Data!$A$2:$A$195,"28.09.2026")</f>
        <v>0</v>
      </c>
      <c r="E13" s="14" t="n">
        <f aca="false">SUMIFS(Data!$D$2:$D$195,Data!$C$2:$C$195,$A13,Data!$A$2:$A$195,"29.09.2026")</f>
        <v>8</v>
      </c>
      <c r="F13" s="14" t="n">
        <f aca="false">SUMIFS(Data!$D$2:$D$195,Data!$C$2:$C$195,$A13,Data!$A$2:$A$195,"30.09.2026")</f>
        <v>8</v>
      </c>
      <c r="G13" s="14" t="n">
        <f aca="false">SUM(D13:F13)</f>
        <v>16</v>
      </c>
      <c r="H13" s="14" t="n">
        <f aca="false">SUMIFS(Data!$D$2:$D$195,Data!$C$2:$C$195,$A13,Data!$E$2:$E$195,"I")</f>
        <v>14</v>
      </c>
      <c r="I13" s="14" t="n">
        <f aca="false">SUMIFS(Data!$D$2:$D$195,Data!$C$2:$C$195,$A13,Data!$E$2:$E$195,"F")</f>
        <v>0</v>
      </c>
      <c r="J13" s="14" t="n">
        <f aca="false">SUMIFS(Data!$D$2:$D$195,Data!$C$2:$C$195,$A13,Data!$E$2:$E$195,"S")</f>
        <v>2</v>
      </c>
      <c r="K13" s="14" t="n">
        <f aca="false">SUMIFS(Data!$D$2:$D$195,Data!$C$2:$C$195,$A13,Data!$E$2:$E$195,"W")</f>
        <v>0</v>
      </c>
    </row>
    <row r="14" customFormat="false" ht="15" hidden="false" customHeight="false" outlineLevel="0" collapsed="false">
      <c r="A14" s="14" t="s">
        <v>93</v>
      </c>
      <c r="B14" s="14" t="s">
        <v>159</v>
      </c>
      <c r="C14" s="14" t="s">
        <v>160</v>
      </c>
      <c r="D14" s="14" t="n">
        <f aca="false">SUMIFS(Data!$D$2:$D$195,Data!$C$2:$C$195,$A14,Data!$A$2:$A$195,"28.09.2026")</f>
        <v>1</v>
      </c>
      <c r="E14" s="14" t="n">
        <f aca="false">SUMIFS(Data!$D$2:$D$195,Data!$C$2:$C$195,$A14,Data!$A$2:$A$195,"29.09.2026")</f>
        <v>7</v>
      </c>
      <c r="F14" s="14" t="n">
        <f aca="false">SUMIFS(Data!$D$2:$D$195,Data!$C$2:$C$195,$A14,Data!$A$2:$A$195,"30.09.2026")</f>
        <v>3</v>
      </c>
      <c r="G14" s="14" t="n">
        <f aca="false">SUM(D14:F14)</f>
        <v>11</v>
      </c>
      <c r="H14" s="14" t="n">
        <f aca="false">SUMIFS(Data!$D$2:$D$195,Data!$C$2:$C$195,$A14,Data!$E$2:$E$195,"I")</f>
        <v>7</v>
      </c>
      <c r="I14" s="14" t="n">
        <f aca="false">SUMIFS(Data!$D$2:$D$195,Data!$C$2:$C$195,$A14,Data!$E$2:$E$195,"F")</f>
        <v>1</v>
      </c>
      <c r="J14" s="14" t="n">
        <f aca="false">SUMIFS(Data!$D$2:$D$195,Data!$C$2:$C$195,$A14,Data!$E$2:$E$195,"S")</f>
        <v>3</v>
      </c>
      <c r="K14" s="14" t="n">
        <f aca="false">SUMIFS(Data!$D$2:$D$195,Data!$C$2:$C$195,$A14,Data!$E$2:$E$195,"W")</f>
        <v>0</v>
      </c>
    </row>
    <row r="15" customFormat="false" ht="15" hidden="false" customHeight="false" outlineLevel="0" collapsed="false">
      <c r="A15" s="14" t="s">
        <v>111</v>
      </c>
      <c r="B15" s="14" t="s">
        <v>161</v>
      </c>
      <c r="C15" s="14" t="s">
        <v>162</v>
      </c>
      <c r="D15" s="14" t="n">
        <f aca="false">SUMIFS(Data!$D$2:$D$195,Data!$C$2:$C$195,$A15,Data!$A$2:$A$195,"28.09.2026")</f>
        <v>0</v>
      </c>
      <c r="E15" s="14" t="n">
        <f aca="false">SUMIFS(Data!$D$2:$D$195,Data!$C$2:$C$195,$A15,Data!$A$2:$A$195,"29.09.2026")</f>
        <v>4</v>
      </c>
      <c r="F15" s="14" t="n">
        <f aca="false">SUMIFS(Data!$D$2:$D$195,Data!$C$2:$C$195,$A15,Data!$A$2:$A$195,"30.09.2026")</f>
        <v>0</v>
      </c>
      <c r="G15" s="14" t="n">
        <f aca="false">SUM(D15:F15)</f>
        <v>4</v>
      </c>
      <c r="H15" s="14" t="n">
        <f aca="false">SUMIFS(Data!$D$2:$D$195,Data!$C$2:$C$195,$A15,Data!$E$2:$E$195,"I")</f>
        <v>1</v>
      </c>
      <c r="I15" s="14" t="n">
        <f aca="false">SUMIFS(Data!$D$2:$D$195,Data!$C$2:$C$195,$A15,Data!$E$2:$E$195,"F")</f>
        <v>3</v>
      </c>
      <c r="J15" s="14" t="n">
        <f aca="false">SUMIFS(Data!$D$2:$D$195,Data!$C$2:$C$195,$A15,Data!$E$2:$E$195,"S")</f>
        <v>0</v>
      </c>
      <c r="K15" s="14" t="n">
        <f aca="false">SUMIFS(Data!$D$2:$D$195,Data!$C$2:$C$195,$A15,Data!$E$2:$E$195,"W")</f>
        <v>0</v>
      </c>
    </row>
    <row r="16" customFormat="false" ht="15" hidden="false" customHeight="false" outlineLevel="0" collapsed="false">
      <c r="A16" s="14" t="s">
        <v>109</v>
      </c>
      <c r="B16" s="14" t="s">
        <v>163</v>
      </c>
      <c r="C16" s="14" t="s">
        <v>164</v>
      </c>
      <c r="D16" s="14" t="n">
        <f aca="false">SUMIFS(Data!$D$2:$D$195,Data!$C$2:$C$195,$A16,Data!$A$2:$A$195,"28.09.2026")</f>
        <v>4</v>
      </c>
      <c r="E16" s="14" t="n">
        <f aca="false">SUMIFS(Data!$D$2:$D$195,Data!$C$2:$C$195,$A16,Data!$A$2:$A$195,"29.09.2026")</f>
        <v>0</v>
      </c>
      <c r="F16" s="14" t="n">
        <f aca="false">SUMIFS(Data!$D$2:$D$195,Data!$C$2:$C$195,$A16,Data!$A$2:$A$195,"30.09.2026")</f>
        <v>0</v>
      </c>
      <c r="G16" s="14" t="n">
        <f aca="false">SUM(D16:F16)</f>
        <v>4</v>
      </c>
      <c r="H16" s="14" t="n">
        <f aca="false">SUMIFS(Data!$D$2:$D$195,Data!$C$2:$C$195,$A16,Data!$E$2:$E$195,"I")</f>
        <v>4</v>
      </c>
      <c r="I16" s="14" t="n">
        <f aca="false">SUMIFS(Data!$D$2:$D$195,Data!$C$2:$C$195,$A16,Data!$E$2:$E$195,"F")</f>
        <v>0</v>
      </c>
      <c r="J16" s="14" t="n">
        <f aca="false">SUMIFS(Data!$D$2:$D$195,Data!$C$2:$C$195,$A16,Data!$E$2:$E$195,"S")</f>
        <v>0</v>
      </c>
      <c r="K16" s="14" t="n">
        <f aca="false">SUMIFS(Data!$D$2:$D$195,Data!$C$2:$C$195,$A16,Data!$E$2:$E$195,"W")</f>
        <v>0</v>
      </c>
    </row>
    <row r="17" customFormat="false" ht="15" hidden="false" customHeight="false" outlineLevel="0" collapsed="false">
      <c r="A17" s="14" t="s">
        <v>104</v>
      </c>
      <c r="B17" s="14" t="s">
        <v>165</v>
      </c>
      <c r="C17" s="14" t="s">
        <v>166</v>
      </c>
      <c r="D17" s="14" t="n">
        <f aca="false">SUMIFS(Data!$D$2:$D$195,Data!$C$2:$C$195,$A17,Data!$A$2:$A$195,"28.09.2026")</f>
        <v>1</v>
      </c>
      <c r="E17" s="14" t="n">
        <f aca="false">SUMIFS(Data!$D$2:$D$195,Data!$C$2:$C$195,$A17,Data!$A$2:$A$195,"29.09.2026")</f>
        <v>2</v>
      </c>
      <c r="F17" s="14" t="n">
        <f aca="false">SUMIFS(Data!$D$2:$D$195,Data!$C$2:$C$195,$A17,Data!$A$2:$A$195,"30.09.2026")</f>
        <v>1</v>
      </c>
      <c r="G17" s="14" t="n">
        <f aca="false">SUM(D17:F17)</f>
        <v>4</v>
      </c>
      <c r="H17" s="14" t="n">
        <f aca="false">SUMIFS(Data!$D$2:$D$195,Data!$C$2:$C$195,$A17,Data!$E$2:$E$195,"I")</f>
        <v>1</v>
      </c>
      <c r="I17" s="14" t="n">
        <f aca="false">SUMIFS(Data!$D$2:$D$195,Data!$C$2:$C$195,$A17,Data!$E$2:$E$195,"F")</f>
        <v>2</v>
      </c>
      <c r="J17" s="14" t="n">
        <f aca="false">SUMIFS(Data!$D$2:$D$195,Data!$C$2:$C$195,$A17,Data!$E$2:$E$195,"S")</f>
        <v>0</v>
      </c>
      <c r="K17" s="14" t="n">
        <f aca="false">SUMIFS(Data!$D$2:$D$195,Data!$C$2:$C$195,$A17,Data!$E$2:$E$195,"W")</f>
        <v>1</v>
      </c>
    </row>
    <row r="18" customFormat="false" ht="15" hidden="false" customHeight="false" outlineLevel="0" collapsed="false">
      <c r="A18" s="14" t="s">
        <v>114</v>
      </c>
      <c r="B18" s="14" t="s">
        <v>167</v>
      </c>
      <c r="C18" s="14" t="s">
        <v>168</v>
      </c>
      <c r="D18" s="14" t="n">
        <f aca="false">SUMIFS(Data!$D$2:$D$195,Data!$C$2:$C$195,$A18,Data!$A$2:$A$195,"28.09.2026")</f>
        <v>0</v>
      </c>
      <c r="E18" s="14" t="n">
        <f aca="false">SUMIFS(Data!$D$2:$D$195,Data!$C$2:$C$195,$A18,Data!$A$2:$A$195,"29.09.2026")</f>
        <v>2</v>
      </c>
      <c r="F18" s="14" t="n">
        <f aca="false">SUMIFS(Data!$D$2:$D$195,Data!$C$2:$C$195,$A18,Data!$A$2:$A$195,"30.09.2026")</f>
        <v>1</v>
      </c>
      <c r="G18" s="14" t="n">
        <f aca="false">SUM(D18:F18)</f>
        <v>3</v>
      </c>
      <c r="H18" s="14" t="n">
        <f aca="false">SUMIFS(Data!$D$2:$D$195,Data!$C$2:$C$195,$A18,Data!$E$2:$E$195,"I")</f>
        <v>0</v>
      </c>
      <c r="I18" s="14" t="n">
        <f aca="false">SUMIFS(Data!$D$2:$D$195,Data!$C$2:$C$195,$A18,Data!$E$2:$E$195,"F")</f>
        <v>3</v>
      </c>
      <c r="J18" s="14" t="n">
        <f aca="false">SUMIFS(Data!$D$2:$D$195,Data!$C$2:$C$195,$A18,Data!$E$2:$E$195,"S")</f>
        <v>0</v>
      </c>
      <c r="K18" s="14" t="n">
        <f aca="false">SUMIFS(Data!$D$2:$D$195,Data!$C$2:$C$195,$A18,Data!$E$2:$E$195,"W")</f>
        <v>0</v>
      </c>
    </row>
    <row r="19" customFormat="false" ht="15" hidden="false" customHeight="false" outlineLevel="0" collapsed="false">
      <c r="A19" s="14" t="s">
        <v>110</v>
      </c>
      <c r="B19" s="14" t="s">
        <v>169</v>
      </c>
      <c r="C19" s="14" t="s">
        <v>170</v>
      </c>
      <c r="D19" s="14" t="n">
        <f aca="false">SUMIFS(Data!$D$2:$D$195,Data!$C$2:$C$195,$A19,Data!$A$2:$A$195,"28.09.2026")</f>
        <v>0</v>
      </c>
      <c r="E19" s="14" t="n">
        <f aca="false">SUMIFS(Data!$D$2:$D$195,Data!$C$2:$C$195,$A19,Data!$A$2:$A$195,"29.09.2026")</f>
        <v>2</v>
      </c>
      <c r="F19" s="14" t="n">
        <f aca="false">SUMIFS(Data!$D$2:$D$195,Data!$C$2:$C$195,$A19,Data!$A$2:$A$195,"30.09.2026")</f>
        <v>0</v>
      </c>
      <c r="G19" s="14" t="n">
        <f aca="false">SUM(D19:F19)</f>
        <v>2</v>
      </c>
      <c r="H19" s="14" t="n">
        <f aca="false">SUMIFS(Data!$D$2:$D$195,Data!$C$2:$C$195,$A19,Data!$E$2:$E$195,"I")</f>
        <v>2</v>
      </c>
      <c r="I19" s="14" t="n">
        <f aca="false">SUMIFS(Data!$D$2:$D$195,Data!$C$2:$C$195,$A19,Data!$E$2:$E$195,"F")</f>
        <v>0</v>
      </c>
      <c r="J19" s="14" t="n">
        <f aca="false">SUMIFS(Data!$D$2:$D$195,Data!$C$2:$C$195,$A19,Data!$E$2:$E$195,"S")</f>
        <v>0</v>
      </c>
      <c r="K19" s="14" t="n">
        <f aca="false">SUMIFS(Data!$D$2:$D$195,Data!$C$2:$C$195,$A19,Data!$E$2:$E$195,"W")</f>
        <v>0</v>
      </c>
    </row>
    <row r="20" customFormat="false" ht="15" hidden="false" customHeight="false" outlineLevel="0" collapsed="false">
      <c r="A20" s="14" t="s">
        <v>95</v>
      </c>
      <c r="B20" s="14" t="s">
        <v>171</v>
      </c>
      <c r="C20" s="14" t="s">
        <v>172</v>
      </c>
      <c r="D20" s="14" t="n">
        <f aca="false">SUMIFS(Data!$D$2:$D$195,Data!$C$2:$C$195,$A20,Data!$A$2:$A$195,"28.09.2026")</f>
        <v>1</v>
      </c>
      <c r="E20" s="14" t="n">
        <f aca="false">SUMIFS(Data!$D$2:$D$195,Data!$C$2:$C$195,$A20,Data!$A$2:$A$195,"29.09.2026")</f>
        <v>0</v>
      </c>
      <c r="F20" s="14" t="n">
        <f aca="false">SUMIFS(Data!$D$2:$D$195,Data!$C$2:$C$195,$A20,Data!$A$2:$A$195,"30.09.2026")</f>
        <v>0</v>
      </c>
      <c r="G20" s="14" t="n">
        <f aca="false">SUM(D20:F20)</f>
        <v>1</v>
      </c>
      <c r="H20" s="14" t="n">
        <f aca="false">SUMIFS(Data!$D$2:$D$195,Data!$C$2:$C$195,$A20,Data!$E$2:$E$195,"I")</f>
        <v>0</v>
      </c>
      <c r="I20" s="14" t="n">
        <f aca="false">SUMIFS(Data!$D$2:$D$195,Data!$C$2:$C$195,$A20,Data!$E$2:$E$195,"F")</f>
        <v>0</v>
      </c>
      <c r="J20" s="14" t="n">
        <f aca="false">SUMIFS(Data!$D$2:$D$195,Data!$C$2:$C$195,$A20,Data!$E$2:$E$195,"S")</f>
        <v>0</v>
      </c>
      <c r="K20" s="14" t="n">
        <f aca="false">SUMIFS(Data!$D$2:$D$195,Data!$C$2:$C$195,$A20,Data!$E$2:$E$195,"W")</f>
        <v>1</v>
      </c>
    </row>
    <row r="21" customFormat="false" ht="15" hidden="false" customHeight="false" outlineLevel="0" collapsed="false">
      <c r="A21" s="4" t="s">
        <v>130</v>
      </c>
      <c r="B21" s="4"/>
      <c r="C21" s="4"/>
      <c r="D21" s="4" t="n">
        <f aca="false">SUM(D2:D20)</f>
        <v>320</v>
      </c>
      <c r="E21" s="4" t="n">
        <f aca="false">SUM(E2:E20)</f>
        <v>483</v>
      </c>
      <c r="F21" s="4" t="n">
        <f aca="false">SUM(F2:F20)</f>
        <v>276</v>
      </c>
      <c r="G21" s="4" t="n">
        <f aca="false">SUM(G2:G20)</f>
        <v>1079</v>
      </c>
      <c r="H21" s="4" t="n">
        <f aca="false">SUM(H2:H20)</f>
        <v>813</v>
      </c>
      <c r="I21" s="4" t="n">
        <f aca="false">SUM(I2:I20)</f>
        <v>82</v>
      </c>
      <c r="J21" s="4" t="n">
        <f aca="false">SUM(J2:J20)</f>
        <v>153</v>
      </c>
      <c r="K21" s="4" t="n">
        <f aca="false">SUM(K2:K20)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4" t="s">
        <v>173</v>
      </c>
    </row>
    <row r="3" customFormat="false" ht="26.85" hidden="false" customHeight="false" outlineLevel="0" collapsed="false">
      <c r="A3" s="3" t="s">
        <v>174</v>
      </c>
      <c r="B3" s="3" t="s">
        <v>175</v>
      </c>
      <c r="C3" s="3" t="s">
        <v>176</v>
      </c>
      <c r="D3" s="3" t="s">
        <v>177</v>
      </c>
    </row>
    <row r="4" customFormat="false" ht="15" hidden="false" customHeight="false" outlineLevel="0" collapsed="false">
      <c r="A4" s="21" t="n">
        <v>46293.0645833333</v>
      </c>
      <c r="B4" s="22" t="n">
        <v>3.09</v>
      </c>
      <c r="C4" s="15" t="s">
        <v>178</v>
      </c>
      <c r="D4" s="15" t="s">
        <v>179</v>
      </c>
    </row>
    <row r="5" customFormat="false" ht="15" hidden="false" customHeight="false" outlineLevel="0" collapsed="false">
      <c r="A5" s="21" t="n">
        <v>46293.3430555556</v>
      </c>
      <c r="B5" s="22" t="n">
        <v>0.55</v>
      </c>
      <c r="C5" s="15" t="s">
        <v>180</v>
      </c>
      <c r="D5" s="15" t="s">
        <v>179</v>
      </c>
    </row>
    <row r="6" customFormat="false" ht="15" hidden="false" customHeight="false" outlineLevel="0" collapsed="false">
      <c r="A6" s="21" t="n">
        <v>46293.5736111111</v>
      </c>
      <c r="B6" s="22" t="n">
        <v>3.31</v>
      </c>
      <c r="C6" s="15" t="s">
        <v>178</v>
      </c>
      <c r="D6" s="15" t="s">
        <v>179</v>
      </c>
    </row>
    <row r="7" customFormat="false" ht="15" hidden="false" customHeight="false" outlineLevel="0" collapsed="false">
      <c r="A7" s="21" t="n">
        <v>46293.8576388889</v>
      </c>
      <c r="B7" s="22" t="n">
        <v>0.51</v>
      </c>
      <c r="C7" s="15" t="s">
        <v>180</v>
      </c>
      <c r="D7" s="15" t="s">
        <v>179</v>
      </c>
    </row>
    <row r="8" customFormat="false" ht="15" hidden="false" customHeight="false" outlineLevel="0" collapsed="false">
      <c r="A8" s="21" t="n">
        <v>46294.0875</v>
      </c>
      <c r="B8" s="22" t="n">
        <v>3.1</v>
      </c>
      <c r="C8" s="15" t="s">
        <v>178</v>
      </c>
      <c r="D8" s="15" t="s">
        <v>179</v>
      </c>
    </row>
    <row r="9" customFormat="false" ht="15" hidden="false" customHeight="false" outlineLevel="0" collapsed="false">
      <c r="A9" s="21" t="n">
        <v>46294.3680555556</v>
      </c>
      <c r="B9" s="22" t="n">
        <v>0.46</v>
      </c>
      <c r="C9" s="15" t="s">
        <v>180</v>
      </c>
      <c r="D9" s="15" t="s">
        <v>179</v>
      </c>
    </row>
    <row r="10" customFormat="false" ht="15" hidden="false" customHeight="false" outlineLevel="0" collapsed="false">
      <c r="A10" s="21" t="n">
        <v>46294.5986111111</v>
      </c>
      <c r="B10" s="22" t="n">
        <v>3.29</v>
      </c>
      <c r="C10" s="15" t="s">
        <v>178</v>
      </c>
      <c r="D10" s="15" t="s">
        <v>179</v>
      </c>
    </row>
    <row r="11" customFormat="false" ht="15" hidden="false" customHeight="false" outlineLevel="0" collapsed="false">
      <c r="A11" s="21" t="n">
        <v>46294.8805555556</v>
      </c>
      <c r="B11" s="22" t="n">
        <v>0.51</v>
      </c>
      <c r="C11" s="15" t="s">
        <v>180</v>
      </c>
      <c r="D11" s="15" t="s">
        <v>179</v>
      </c>
    </row>
    <row r="12" customFormat="false" ht="15" hidden="false" customHeight="false" outlineLevel="0" collapsed="false">
      <c r="A12" s="21" t="n">
        <v>46295.1104166667</v>
      </c>
      <c r="B12" s="22" t="n">
        <v>3.09</v>
      </c>
      <c r="C12" s="15" t="s">
        <v>178</v>
      </c>
      <c r="D12" s="15" t="s">
        <v>181</v>
      </c>
    </row>
    <row r="13" customFormat="false" ht="15" hidden="false" customHeight="false" outlineLevel="0" collapsed="false">
      <c r="A13" s="21" t="n">
        <v>46295.3909722222</v>
      </c>
      <c r="B13" s="22" t="n">
        <v>0.43</v>
      </c>
      <c r="C13" s="15" t="s">
        <v>180</v>
      </c>
      <c r="D13" s="15" t="s">
        <v>181</v>
      </c>
    </row>
    <row r="14" customFormat="false" ht="15" hidden="false" customHeight="false" outlineLevel="0" collapsed="false">
      <c r="A14" s="21" t="n">
        <v>46295.6229166667</v>
      </c>
      <c r="B14" s="22" t="n">
        <v>3.24</v>
      </c>
      <c r="C14" s="15" t="s">
        <v>178</v>
      </c>
      <c r="D14" s="15" t="s">
        <v>181</v>
      </c>
    </row>
    <row r="15" customFormat="false" ht="15" hidden="false" customHeight="false" outlineLevel="0" collapsed="false">
      <c r="A15" s="21" t="n">
        <v>46295.9034722222</v>
      </c>
      <c r="B15" s="22" t="n">
        <v>0.54</v>
      </c>
      <c r="C15" s="15" t="s">
        <v>180</v>
      </c>
      <c r="D15" s="15" t="s">
        <v>181</v>
      </c>
    </row>
    <row r="17" customFormat="false" ht="15" hidden="false" customHeight="false" outlineLevel="0" collapsed="false">
      <c r="A17" s="2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9" min="7" style="0" width="9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16"/>
    <col collapsed="false" customWidth="true" hidden="false" outlineLevel="0" max="15" min="14" style="0" width="10"/>
    <col collapsed="false" customWidth="true" hidden="false" outlineLevel="0" max="17" min="16" style="0" width="8"/>
    <col collapsed="false" customWidth="true" hidden="false" outlineLevel="0" max="18" min="18" style="0" width="12"/>
    <col collapsed="false" customWidth="true" hidden="false" outlineLevel="0" max="20" min="19" style="0" width="10"/>
    <col collapsed="false" customWidth="true" hidden="false" outlineLevel="0" max="21" min="21" style="0" width="12"/>
  </cols>
  <sheetData>
    <row r="1" customFormat="false" ht="45" hidden="false" customHeight="true" outlineLevel="0" collapsed="false">
      <c r="A1" s="3" t="s">
        <v>76</v>
      </c>
      <c r="B1" s="3" t="s">
        <v>77</v>
      </c>
      <c r="C1" s="3" t="s">
        <v>174</v>
      </c>
      <c r="D1" s="3" t="s">
        <v>57</v>
      </c>
      <c r="E1" s="3" t="s">
        <v>58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80</v>
      </c>
      <c r="K1" s="3" t="s">
        <v>183</v>
      </c>
      <c r="L1" s="3" t="s">
        <v>184</v>
      </c>
      <c r="M1" s="3" t="s">
        <v>185</v>
      </c>
      <c r="N1" s="3" t="s">
        <v>186</v>
      </c>
      <c r="O1" s="3" t="s">
        <v>187</v>
      </c>
      <c r="P1" s="3" t="s">
        <v>188</v>
      </c>
      <c r="Q1" s="3" t="s">
        <v>189</v>
      </c>
      <c r="R1" s="3" t="s">
        <v>190</v>
      </c>
      <c r="S1" s="3" t="s">
        <v>191</v>
      </c>
      <c r="T1" s="3" t="s">
        <v>192</v>
      </c>
      <c r="U1" s="3" t="s">
        <v>38</v>
      </c>
    </row>
    <row r="2" customFormat="false" ht="15" hidden="false" customHeight="false" outlineLevel="0" collapsed="false">
      <c r="A2" s="14" t="s">
        <v>3</v>
      </c>
      <c r="B2" s="14" t="s">
        <v>81</v>
      </c>
      <c r="C2" s="23" t="n">
        <f aca="false">DATE(VALUE(RIGHT(A2,4)),VALUE(MID(A2,4,2)),VALUE(LEFT(A2,2)))+TIMEVALUE(B2)</f>
        <v>46293.3611111111</v>
      </c>
      <c r="D2" s="14" t="n">
        <f aca="false">SUMIFS(Data!$D$2:$D$195,Data!$A$2:$A$195,$A2,Data!$B$2:$B$195,$B2)</f>
        <v>23</v>
      </c>
      <c r="E2" s="14" t="n">
        <f aca="false">SUMPRODUCT(--(COUNTIFS(Data!$A$2:$A$195,$A2,Data!$B$2:$B$195,$B2,Data!$C$2:$C$195,Abundance!$A$2:$A$20)&gt;0))</f>
        <v>4</v>
      </c>
      <c r="F2" s="14" t="n">
        <f aca="false">SUMIFS(Data!$D$2:$D$195,Data!$A$2:$A$195,$A2,Data!$B$2:$B$195,$B2,Data!$E$2:$E$195,"I")</f>
        <v>21</v>
      </c>
      <c r="G2" s="14" t="n">
        <f aca="false">SUMIFS(Data!$D$2:$D$195,Data!$A$2:$A$195,$A2,Data!$B$2:$B$195,$B2,Data!$E$2:$E$195,"F")</f>
        <v>0</v>
      </c>
      <c r="H2" s="14" t="n">
        <f aca="false">SUMIFS(Data!$D$2:$D$195,Data!$A$2:$A$195,$A2,Data!$B$2:$B$195,$B2,Data!$E$2:$E$195,"S")</f>
        <v>2</v>
      </c>
      <c r="I2" s="14" t="n">
        <f aca="false">SUMIFS(Data!$D$2:$D$195,Data!$A$2:$A$195,$A2,Data!$B$2:$B$195,$B2,Data!$E$2:$E$195,"W")</f>
        <v>0</v>
      </c>
      <c r="J2" s="15" t="n">
        <v>2</v>
      </c>
      <c r="K2" s="14" t="n">
        <f aca="false">MATCH(C2,Tide_table!$A$4:$A$15,1)</f>
        <v>2</v>
      </c>
      <c r="L2" s="23" t="n">
        <f aca="false">INDEX(Tide_table!$A$4:$A$15,K2)</f>
        <v>46293.3430555556</v>
      </c>
      <c r="M2" s="23" t="n">
        <f aca="false">INDEX(Tide_table!$A$4:$A$15,K2+1)</f>
        <v>46293.5736111111</v>
      </c>
      <c r="N2" s="17" t="n">
        <f aca="false">INDEX(Tide_table!$B$4:$B$15,K2)</f>
        <v>0.55</v>
      </c>
      <c r="O2" s="17" t="n">
        <f aca="false">INDEX(Tide_table!$B$4:$B$15,K2+1)</f>
        <v>3.31</v>
      </c>
      <c r="P2" s="14" t="str">
        <f aca="false">INDEX(Tide_table!$C$4:$C$15,K2)</f>
        <v>NW</v>
      </c>
      <c r="Q2" s="14" t="str">
        <f aca="false">INDEX(Tide_table!$C$4:$C$15,K2+1)</f>
        <v>HW</v>
      </c>
      <c r="R2" s="17" t="n">
        <f aca="false">N2+(O2-N2)*(1-COS(PI()*(C2-L2)/(M2-L2)))/2</f>
        <v>0.591555413377472</v>
      </c>
      <c r="S2" s="16" t="n">
        <f aca="false">(C2-L2)*24</f>
        <v>0.433333333333333</v>
      </c>
      <c r="T2" s="16" t="n">
        <f aca="false">(M2-C2)*24</f>
        <v>5.1</v>
      </c>
      <c r="U2" s="14" t="str">
        <f aca="false">IF(MIN(S2,T2)&lt;=Tide_summary!$B$3,IF(IF(S2&lt;=T2,P2,Q2)="HW","High water","Low water"),IF(Q2="HW","Rising","Falling"))</f>
        <v>Low water</v>
      </c>
    </row>
    <row r="3" customFormat="false" ht="15" hidden="false" customHeight="false" outlineLevel="0" collapsed="false">
      <c r="A3" s="14" t="s">
        <v>3</v>
      </c>
      <c r="B3" s="14" t="s">
        <v>84</v>
      </c>
      <c r="C3" s="23" t="n">
        <f aca="false">DATE(VALUE(RIGHT(A3,4)),VALUE(MID(A3,4,2)),VALUE(LEFT(A3,2)))+TIMEVALUE(B3)</f>
        <v>46293.375</v>
      </c>
      <c r="D3" s="14" t="n">
        <f aca="false">SUMIFS(Data!$D$2:$D$195,Data!$A$2:$A$195,$A3,Data!$B$2:$B$195,$B3)</f>
        <v>36</v>
      </c>
      <c r="E3" s="14" t="n">
        <f aca="false">SUMPRODUCT(--(COUNTIFS(Data!$A$2:$A$195,$A3,Data!$B$2:$B$195,$B3,Data!$C$2:$C$195,Abundance!$A$2:$A$20)&gt;0))</f>
        <v>3</v>
      </c>
      <c r="F3" s="14" t="n">
        <f aca="false">SUMIFS(Data!$D$2:$D$195,Data!$A$2:$A$195,$A3,Data!$B$2:$B$195,$B3,Data!$E$2:$E$195,"I")</f>
        <v>33</v>
      </c>
      <c r="G3" s="14" t="n">
        <f aca="false">SUMIFS(Data!$D$2:$D$195,Data!$A$2:$A$195,$A3,Data!$B$2:$B$195,$B3,Data!$E$2:$E$195,"F")</f>
        <v>0</v>
      </c>
      <c r="H3" s="14" t="n">
        <f aca="false">SUMIFS(Data!$D$2:$D$195,Data!$A$2:$A$195,$A3,Data!$B$2:$B$195,$B3,Data!$E$2:$E$195,"S")</f>
        <v>1</v>
      </c>
      <c r="I3" s="14" t="n">
        <f aca="false">SUMIFS(Data!$D$2:$D$195,Data!$A$2:$A$195,$A3,Data!$B$2:$B$195,$B3,Data!$E$2:$E$195,"W")</f>
        <v>2</v>
      </c>
      <c r="J3" s="15" t="n">
        <v>1.4</v>
      </c>
      <c r="K3" s="14" t="n">
        <f aca="false">MATCH(C3,Tide_table!$A$4:$A$15,1)</f>
        <v>2</v>
      </c>
      <c r="L3" s="23" t="n">
        <f aca="false">INDEX(Tide_table!$A$4:$A$15,K3)</f>
        <v>46293.3430555556</v>
      </c>
      <c r="M3" s="23" t="n">
        <f aca="false">INDEX(Tide_table!$A$4:$A$15,K3+1)</f>
        <v>46293.5736111111</v>
      </c>
      <c r="N3" s="17" t="n">
        <f aca="false">INDEX(Tide_table!$B$4:$B$15,K3)</f>
        <v>0.55</v>
      </c>
      <c r="O3" s="17" t="n">
        <f aca="false">INDEX(Tide_table!$B$4:$B$15,K3+1)</f>
        <v>3.31</v>
      </c>
      <c r="P3" s="14" t="str">
        <f aca="false">INDEX(Tide_table!$C$4:$C$15,K3)</f>
        <v>NW</v>
      </c>
      <c r="Q3" s="14" t="str">
        <f aca="false">INDEX(Tide_table!$C$4:$C$15,K3+1)</f>
        <v>HW</v>
      </c>
      <c r="R3" s="17" t="n">
        <f aca="false">N3+(O3-N3)*(1-COS(PI()*(C3-L3)/(M3-L3)))/2</f>
        <v>0.678682753092304</v>
      </c>
      <c r="S3" s="16" t="n">
        <f aca="false">(C3-L3)*24</f>
        <v>0.766666666666667</v>
      </c>
      <c r="T3" s="16" t="n">
        <f aca="false">(M3-C3)*24</f>
        <v>4.76666666666667</v>
      </c>
      <c r="U3" s="14" t="str">
        <f aca="false">IF(MIN(S3,T3)&lt;=Tide_summary!$B$3,IF(IF(S3&lt;=T3,P3,Q3)="HW","High water","Low water"),IF(Q3="HW","Rising","Falling"))</f>
        <v>Low water</v>
      </c>
    </row>
    <row r="4" customFormat="false" ht="15" hidden="false" customHeight="false" outlineLevel="0" collapsed="false">
      <c r="A4" s="14" t="s">
        <v>3</v>
      </c>
      <c r="B4" s="14" t="s">
        <v>86</v>
      </c>
      <c r="C4" s="23" t="n">
        <f aca="false">DATE(VALUE(RIGHT(A4,4)),VALUE(MID(A4,4,2)),VALUE(LEFT(A4,2)))+TIMEVALUE(B4)</f>
        <v>46293.3888888889</v>
      </c>
      <c r="D4" s="14" t="n">
        <f aca="false">SUMIFS(Data!$D$2:$D$195,Data!$A$2:$A$195,$A4,Data!$B$2:$B$195,$B4)</f>
        <v>33</v>
      </c>
      <c r="E4" s="14" t="n">
        <f aca="false">SUMPRODUCT(--(COUNTIFS(Data!$A$2:$A$195,$A4,Data!$B$2:$B$195,$B4,Data!$C$2:$C$195,Abundance!$A$2:$A$20)&gt;0))</f>
        <v>4</v>
      </c>
      <c r="F4" s="14" t="n">
        <f aca="false">SUMIFS(Data!$D$2:$D$195,Data!$A$2:$A$195,$A4,Data!$B$2:$B$195,$B4,Data!$E$2:$E$195,"I")</f>
        <v>28</v>
      </c>
      <c r="G4" s="14" t="n">
        <f aca="false">SUMIFS(Data!$D$2:$D$195,Data!$A$2:$A$195,$A4,Data!$B$2:$B$195,$B4,Data!$E$2:$E$195,"F")</f>
        <v>0</v>
      </c>
      <c r="H4" s="14" t="n">
        <f aca="false">SUMIFS(Data!$D$2:$D$195,Data!$A$2:$A$195,$A4,Data!$B$2:$B$195,$B4,Data!$E$2:$E$195,"S")</f>
        <v>5</v>
      </c>
      <c r="I4" s="14" t="n">
        <f aca="false">SUMIFS(Data!$D$2:$D$195,Data!$A$2:$A$195,$A4,Data!$B$2:$B$195,$B4,Data!$E$2:$E$195,"W")</f>
        <v>0</v>
      </c>
      <c r="J4" s="15" t="n">
        <v>3.8</v>
      </c>
      <c r="K4" s="14" t="n">
        <f aca="false">MATCH(C4,Tide_table!$A$4:$A$15,1)</f>
        <v>2</v>
      </c>
      <c r="L4" s="23" t="n">
        <f aca="false">INDEX(Tide_table!$A$4:$A$15,K4)</f>
        <v>46293.3430555556</v>
      </c>
      <c r="M4" s="23" t="n">
        <f aca="false">INDEX(Tide_table!$A$4:$A$15,K4+1)</f>
        <v>46293.5736111111</v>
      </c>
      <c r="N4" s="17" t="n">
        <f aca="false">INDEX(Tide_table!$B$4:$B$15,K4)</f>
        <v>0.55</v>
      </c>
      <c r="O4" s="17" t="n">
        <f aca="false">INDEX(Tide_table!$B$4:$B$15,K4+1)</f>
        <v>3.31</v>
      </c>
      <c r="P4" s="14" t="str">
        <f aca="false">INDEX(Tide_table!$C$4:$C$15,K4)</f>
        <v>NW</v>
      </c>
      <c r="Q4" s="14" t="str">
        <f aca="false">INDEX(Tide_table!$C$4:$C$15,K4+1)</f>
        <v>HW</v>
      </c>
      <c r="R4" s="17" t="n">
        <f aca="false">N4+(O4-N4)*(1-COS(PI()*(C4-L4)/(M4-L4)))/2</f>
        <v>0.810494332118343</v>
      </c>
      <c r="S4" s="16" t="n">
        <f aca="false">(C4-L4)*24</f>
        <v>1.1</v>
      </c>
      <c r="T4" s="16" t="n">
        <f aca="false">(M4-C4)*24</f>
        <v>4.43333333333333</v>
      </c>
      <c r="U4" s="14" t="str">
        <f aca="false">IF(MIN(S4,T4)&lt;=Tide_summary!$B$3,IF(IF(S4&lt;=T4,P4,Q4)="HW","High water","Low water"),IF(Q4="HW","Rising","Falling"))</f>
        <v>Low water</v>
      </c>
    </row>
    <row r="5" customFormat="false" ht="15" hidden="false" customHeight="false" outlineLevel="0" collapsed="false">
      <c r="A5" s="14" t="s">
        <v>3</v>
      </c>
      <c r="B5" s="14" t="s">
        <v>87</v>
      </c>
      <c r="C5" s="23" t="n">
        <f aca="false">DATE(VALUE(RIGHT(A5,4)),VALUE(MID(A5,4,2)),VALUE(LEFT(A5,2)))+TIMEVALUE(B5)</f>
        <v>46293.4027777778</v>
      </c>
      <c r="D5" s="14" t="n">
        <f aca="false">SUMIFS(Data!$D$2:$D$195,Data!$A$2:$A$195,$A5,Data!$B$2:$B$195,$B5)</f>
        <v>32</v>
      </c>
      <c r="E5" s="14" t="n">
        <f aca="false">SUMPRODUCT(--(COUNTIFS(Data!$A$2:$A$195,$A5,Data!$B$2:$B$195,$B5,Data!$C$2:$C$195,Abundance!$A$2:$A$20)&gt;0))</f>
        <v>3</v>
      </c>
      <c r="F5" s="14" t="n">
        <f aca="false">SUMIFS(Data!$D$2:$D$195,Data!$A$2:$A$195,$A5,Data!$B$2:$B$195,$B5,Data!$E$2:$E$195,"I")</f>
        <v>14</v>
      </c>
      <c r="G5" s="14" t="n">
        <f aca="false">SUMIFS(Data!$D$2:$D$195,Data!$A$2:$A$195,$A5,Data!$B$2:$B$195,$B5,Data!$E$2:$E$195,"F")</f>
        <v>0</v>
      </c>
      <c r="H5" s="14" t="n">
        <f aca="false">SUMIFS(Data!$D$2:$D$195,Data!$A$2:$A$195,$A5,Data!$B$2:$B$195,$B5,Data!$E$2:$E$195,"S")</f>
        <v>0</v>
      </c>
      <c r="I5" s="14" t="n">
        <f aca="false">SUMIFS(Data!$D$2:$D$195,Data!$A$2:$A$195,$A5,Data!$B$2:$B$195,$B5,Data!$E$2:$E$195,"W")</f>
        <v>18</v>
      </c>
      <c r="J5" s="15" t="n">
        <v>1</v>
      </c>
      <c r="K5" s="14" t="n">
        <f aca="false">MATCH(C5,Tide_table!$A$4:$A$15,1)</f>
        <v>2</v>
      </c>
      <c r="L5" s="23" t="n">
        <f aca="false">INDEX(Tide_table!$A$4:$A$15,K5)</f>
        <v>46293.3430555556</v>
      </c>
      <c r="M5" s="23" t="n">
        <f aca="false">INDEX(Tide_table!$A$4:$A$15,K5+1)</f>
        <v>46293.5736111111</v>
      </c>
      <c r="N5" s="17" t="n">
        <f aca="false">INDEX(Tide_table!$B$4:$B$15,K5)</f>
        <v>0.55</v>
      </c>
      <c r="O5" s="17" t="n">
        <f aca="false">INDEX(Tide_table!$B$4:$B$15,K5+1)</f>
        <v>3.31</v>
      </c>
      <c r="P5" s="14" t="str">
        <f aca="false">INDEX(Tide_table!$C$4:$C$15,K5)</f>
        <v>NW</v>
      </c>
      <c r="Q5" s="14" t="str">
        <f aca="false">INDEX(Tide_table!$C$4:$C$15,K5+1)</f>
        <v>HW</v>
      </c>
      <c r="R5" s="17" t="n">
        <f aca="false">N5+(O5-N5)*(1-COS(PI()*(C5-L5)/(M5-L5)))/2</f>
        <v>0.982283190525369</v>
      </c>
      <c r="S5" s="16" t="n">
        <f aca="false">(C5-L5)*24</f>
        <v>1.43333333333333</v>
      </c>
      <c r="T5" s="16" t="n">
        <f aca="false">(M5-C5)*24</f>
        <v>4.1</v>
      </c>
      <c r="U5" s="14" t="str">
        <f aca="false">IF(MIN(S5,T5)&lt;=Tide_summary!$B$3,IF(IF(S5&lt;=T5,P5,Q5)="HW","High water","Low water"),IF(Q5="HW","Rising","Falling"))</f>
        <v>Low water</v>
      </c>
    </row>
    <row r="6" customFormat="false" ht="15" hidden="false" customHeight="false" outlineLevel="0" collapsed="false">
      <c r="A6" s="14" t="s">
        <v>3</v>
      </c>
      <c r="B6" s="14" t="s">
        <v>88</v>
      </c>
      <c r="C6" s="23" t="n">
        <f aca="false">DATE(VALUE(RIGHT(A6,4)),VALUE(MID(A6,4,2)),VALUE(LEFT(A6,2)))+TIMEVALUE(B6)</f>
        <v>46293.4166666667</v>
      </c>
      <c r="D6" s="14" t="n">
        <f aca="false">SUMIFS(Data!$D$2:$D$195,Data!$A$2:$A$195,$A6,Data!$B$2:$B$195,$B6)</f>
        <v>44</v>
      </c>
      <c r="E6" s="14" t="n">
        <f aca="false">SUMPRODUCT(--(COUNTIFS(Data!$A$2:$A$195,$A6,Data!$B$2:$B$195,$B6,Data!$C$2:$C$195,Abundance!$A$2:$A$20)&gt;0))</f>
        <v>5</v>
      </c>
      <c r="F6" s="14" t="n">
        <f aca="false">SUMIFS(Data!$D$2:$D$195,Data!$A$2:$A$195,$A6,Data!$B$2:$B$195,$B6,Data!$E$2:$E$195,"I")</f>
        <v>29</v>
      </c>
      <c r="G6" s="14" t="n">
        <f aca="false">SUMIFS(Data!$D$2:$D$195,Data!$A$2:$A$195,$A6,Data!$B$2:$B$195,$B6,Data!$E$2:$E$195,"F")</f>
        <v>1</v>
      </c>
      <c r="H6" s="14" t="n">
        <f aca="false">SUMIFS(Data!$D$2:$D$195,Data!$A$2:$A$195,$A6,Data!$B$2:$B$195,$B6,Data!$E$2:$E$195,"S")</f>
        <v>14</v>
      </c>
      <c r="I6" s="14" t="n">
        <f aca="false">SUMIFS(Data!$D$2:$D$195,Data!$A$2:$A$195,$A6,Data!$B$2:$B$195,$B6,Data!$E$2:$E$195,"W")</f>
        <v>0</v>
      </c>
      <c r="J6" s="15" t="n">
        <v>3.14285714285714</v>
      </c>
      <c r="K6" s="14" t="n">
        <f aca="false">MATCH(C6,Tide_table!$A$4:$A$15,1)</f>
        <v>2</v>
      </c>
      <c r="L6" s="23" t="n">
        <f aca="false">INDEX(Tide_table!$A$4:$A$15,K6)</f>
        <v>46293.3430555556</v>
      </c>
      <c r="M6" s="23" t="n">
        <f aca="false">INDEX(Tide_table!$A$4:$A$15,K6+1)</f>
        <v>46293.5736111111</v>
      </c>
      <c r="N6" s="17" t="n">
        <f aca="false">INDEX(Tide_table!$B$4:$B$15,K6)</f>
        <v>0.55</v>
      </c>
      <c r="O6" s="17" t="n">
        <f aca="false">INDEX(Tide_table!$B$4:$B$15,K6+1)</f>
        <v>3.31</v>
      </c>
      <c r="P6" s="14" t="str">
        <f aca="false">INDEX(Tide_table!$C$4:$C$15,K6)</f>
        <v>NW</v>
      </c>
      <c r="Q6" s="14" t="str">
        <f aca="false">INDEX(Tide_table!$C$4:$C$15,K6+1)</f>
        <v>HW</v>
      </c>
      <c r="R6" s="17" t="n">
        <f aca="false">N6+(O6-N6)*(1-COS(PI()*(C6-L6)/(M6-L6)))/2</f>
        <v>1.18791478930736</v>
      </c>
      <c r="S6" s="16" t="n">
        <f aca="false">(C6-L6)*24</f>
        <v>1.76666666666667</v>
      </c>
      <c r="T6" s="16" t="n">
        <f aca="false">(M6-C6)*24</f>
        <v>3.76666666666667</v>
      </c>
      <c r="U6" s="14" t="str">
        <f aca="false">IF(MIN(S6,T6)&lt;=Tide_summary!$B$3,IF(IF(S6&lt;=T6,P6,Q6)="HW","High water","Low water"),IF(Q6="HW","Rising","Falling"))</f>
        <v>Rising</v>
      </c>
    </row>
    <row r="7" customFormat="false" ht="15" hidden="false" customHeight="false" outlineLevel="0" collapsed="false">
      <c r="A7" s="14" t="s">
        <v>3</v>
      </c>
      <c r="B7" s="14" t="s">
        <v>91</v>
      </c>
      <c r="C7" s="23" t="n">
        <f aca="false">DATE(VALUE(RIGHT(A7,4)),VALUE(MID(A7,4,2)),VALUE(LEFT(A7,2)))+TIMEVALUE(B7)</f>
        <v>46293.4305555556</v>
      </c>
      <c r="D7" s="14" t="n">
        <f aca="false">SUMIFS(Data!$D$2:$D$195,Data!$A$2:$A$195,$A7,Data!$B$2:$B$195,$B7)</f>
        <v>26</v>
      </c>
      <c r="E7" s="14" t="n">
        <f aca="false">SUMPRODUCT(--(COUNTIFS(Data!$A$2:$A$195,$A7,Data!$B$2:$B$195,$B7,Data!$C$2:$C$195,Abundance!$A$2:$A$20)&gt;0))</f>
        <v>6</v>
      </c>
      <c r="F7" s="14" t="n">
        <f aca="false">SUMIFS(Data!$D$2:$D$195,Data!$A$2:$A$195,$A7,Data!$B$2:$B$195,$B7,Data!$E$2:$E$195,"I")</f>
        <v>20</v>
      </c>
      <c r="G7" s="14" t="n">
        <f aca="false">SUMIFS(Data!$D$2:$D$195,Data!$A$2:$A$195,$A7,Data!$B$2:$B$195,$B7,Data!$E$2:$E$195,"F")</f>
        <v>1</v>
      </c>
      <c r="H7" s="14" t="n">
        <f aca="false">SUMIFS(Data!$D$2:$D$195,Data!$A$2:$A$195,$A7,Data!$B$2:$B$195,$B7,Data!$E$2:$E$195,"S")</f>
        <v>4</v>
      </c>
      <c r="I7" s="14" t="n">
        <f aca="false">SUMIFS(Data!$D$2:$D$195,Data!$A$2:$A$195,$A7,Data!$B$2:$B$195,$B7,Data!$E$2:$E$195,"W")</f>
        <v>1</v>
      </c>
      <c r="J7" s="15" t="n">
        <v>2.85714285714286</v>
      </c>
      <c r="K7" s="14" t="n">
        <f aca="false">MATCH(C7,Tide_table!$A$4:$A$15,1)</f>
        <v>2</v>
      </c>
      <c r="L7" s="23" t="n">
        <f aca="false">INDEX(Tide_table!$A$4:$A$15,K7)</f>
        <v>46293.3430555556</v>
      </c>
      <c r="M7" s="23" t="n">
        <f aca="false">INDEX(Tide_table!$A$4:$A$15,K7+1)</f>
        <v>46293.5736111111</v>
      </c>
      <c r="N7" s="17" t="n">
        <f aca="false">INDEX(Tide_table!$B$4:$B$15,K7)</f>
        <v>0.55</v>
      </c>
      <c r="O7" s="17" t="n">
        <f aca="false">INDEX(Tide_table!$B$4:$B$15,K7+1)</f>
        <v>3.31</v>
      </c>
      <c r="P7" s="14" t="str">
        <f aca="false">INDEX(Tide_table!$C$4:$C$15,K7)</f>
        <v>NW</v>
      </c>
      <c r="Q7" s="14" t="str">
        <f aca="false">INDEX(Tide_table!$C$4:$C$15,K7+1)</f>
        <v>HW</v>
      </c>
      <c r="R7" s="17" t="n">
        <f aca="false">N7+(O7-N7)*(1-COS(PI()*(C7-L7)/(M7-L7)))/2</f>
        <v>1.42004607330176</v>
      </c>
      <c r="S7" s="16" t="n">
        <f aca="false">(C7-L7)*24</f>
        <v>2.1</v>
      </c>
      <c r="T7" s="16" t="n">
        <f aca="false">(M7-C7)*24</f>
        <v>3.43333333333333</v>
      </c>
      <c r="U7" s="14" t="str">
        <f aca="false">IF(MIN(S7,T7)&lt;=Tide_summary!$B$3,IF(IF(S7&lt;=T7,P7,Q7)="HW","High water","Low water"),IF(Q7="HW","Rising","Falling"))</f>
        <v>Rising</v>
      </c>
    </row>
    <row r="8" customFormat="false" ht="15" hidden="false" customHeight="false" outlineLevel="0" collapsed="false">
      <c r="A8" s="14" t="s">
        <v>3</v>
      </c>
      <c r="B8" s="14" t="s">
        <v>92</v>
      </c>
      <c r="C8" s="23" t="n">
        <f aca="false">DATE(VALUE(RIGHT(A8,4)),VALUE(MID(A8,4,2)),VALUE(LEFT(A8,2)))+TIMEVALUE(B8)</f>
        <v>46293.4444444444</v>
      </c>
      <c r="D8" s="14" t="n">
        <f aca="false">SUMIFS(Data!$D$2:$D$195,Data!$A$2:$A$195,$A8,Data!$B$2:$B$195,$B8)</f>
        <v>29</v>
      </c>
      <c r="E8" s="14" t="n">
        <f aca="false">SUMPRODUCT(--(COUNTIFS(Data!$A$2:$A$195,$A8,Data!$B$2:$B$195,$B8,Data!$C$2:$C$195,Abundance!$A$2:$A$20)&gt;0))</f>
        <v>3</v>
      </c>
      <c r="F8" s="14" t="n">
        <f aca="false">SUMIFS(Data!$D$2:$D$195,Data!$A$2:$A$195,$A8,Data!$B$2:$B$195,$B8,Data!$E$2:$E$195,"I")</f>
        <v>0</v>
      </c>
      <c r="G8" s="14" t="n">
        <f aca="false">SUMIFS(Data!$D$2:$D$195,Data!$A$2:$A$195,$A8,Data!$B$2:$B$195,$B8,Data!$E$2:$E$195,"F")</f>
        <v>28</v>
      </c>
      <c r="H8" s="14" t="n">
        <f aca="false">SUMIFS(Data!$D$2:$D$195,Data!$A$2:$A$195,$A8,Data!$B$2:$B$195,$B8,Data!$E$2:$E$195,"S")</f>
        <v>1</v>
      </c>
      <c r="I8" s="14" t="n">
        <f aca="false">SUMIFS(Data!$D$2:$D$195,Data!$A$2:$A$195,$A8,Data!$B$2:$B$195,$B8,Data!$E$2:$E$195,"W")</f>
        <v>0</v>
      </c>
      <c r="J8" s="15" t="n">
        <v>6</v>
      </c>
      <c r="K8" s="14" t="n">
        <f aca="false">MATCH(C8,Tide_table!$A$4:$A$15,1)</f>
        <v>2</v>
      </c>
      <c r="L8" s="23" t="n">
        <f aca="false">INDEX(Tide_table!$A$4:$A$15,K8)</f>
        <v>46293.3430555556</v>
      </c>
      <c r="M8" s="23" t="n">
        <f aca="false">INDEX(Tide_table!$A$4:$A$15,K8+1)</f>
        <v>46293.5736111111</v>
      </c>
      <c r="N8" s="17" t="n">
        <f aca="false">INDEX(Tide_table!$B$4:$B$15,K8)</f>
        <v>0.55</v>
      </c>
      <c r="O8" s="17" t="n">
        <f aca="false">INDEX(Tide_table!$B$4:$B$15,K8+1)</f>
        <v>3.31</v>
      </c>
      <c r="P8" s="14" t="str">
        <f aca="false">INDEX(Tide_table!$C$4:$C$15,K8)</f>
        <v>NW</v>
      </c>
      <c r="Q8" s="14" t="str">
        <f aca="false">INDEX(Tide_table!$C$4:$C$15,K8+1)</f>
        <v>HW</v>
      </c>
      <c r="R8" s="17" t="n">
        <f aca="false">N8+(O8-N8)*(1-COS(PI()*(C8-L8)/(M8-L8)))/2</f>
        <v>1.67038768993129</v>
      </c>
      <c r="S8" s="16" t="n">
        <f aca="false">(C8-L8)*24</f>
        <v>2.43333333333333</v>
      </c>
      <c r="T8" s="16" t="n">
        <f aca="false">(M8-C8)*24</f>
        <v>3.1</v>
      </c>
      <c r="U8" s="14" t="str">
        <f aca="false">IF(MIN(S8,T8)&lt;=Tide_summary!$B$3,IF(IF(S8&lt;=T8,P8,Q8)="HW","High water","Low water"),IF(Q8="HW","Rising","Falling"))</f>
        <v>Rising</v>
      </c>
    </row>
    <row r="9" customFormat="false" ht="15" hidden="false" customHeight="false" outlineLevel="0" collapsed="false">
      <c r="A9" s="14" t="s">
        <v>3</v>
      </c>
      <c r="B9" s="14" t="s">
        <v>94</v>
      </c>
      <c r="C9" s="23" t="n">
        <f aca="false">DATE(VALUE(RIGHT(A9,4)),VALUE(MID(A9,4,2)),VALUE(LEFT(A9,2)))+TIMEVALUE(B9)</f>
        <v>46293.4583333333</v>
      </c>
      <c r="D9" s="14" t="n">
        <f aca="false">SUMIFS(Data!$D$2:$D$195,Data!$A$2:$A$195,$A9,Data!$B$2:$B$195,$B9)</f>
        <v>15</v>
      </c>
      <c r="E9" s="14" t="n">
        <f aca="false">SUMPRODUCT(--(COUNTIFS(Data!$A$2:$A$195,$A9,Data!$B$2:$B$195,$B9,Data!$C$2:$C$195,Abundance!$A$2:$A$20)&gt;0))</f>
        <v>4</v>
      </c>
      <c r="F9" s="14" t="n">
        <f aca="false">SUMIFS(Data!$D$2:$D$195,Data!$A$2:$A$195,$A9,Data!$B$2:$B$195,$B9,Data!$E$2:$E$195,"I")</f>
        <v>0</v>
      </c>
      <c r="G9" s="14" t="n">
        <f aca="false">SUMIFS(Data!$D$2:$D$195,Data!$A$2:$A$195,$A9,Data!$B$2:$B$195,$B9,Data!$E$2:$E$195,"F")</f>
        <v>0</v>
      </c>
      <c r="H9" s="14" t="n">
        <f aca="false">SUMIFS(Data!$D$2:$D$195,Data!$A$2:$A$195,$A9,Data!$B$2:$B$195,$B9,Data!$E$2:$E$195,"S")</f>
        <v>13</v>
      </c>
      <c r="I9" s="14" t="n">
        <f aca="false">SUMIFS(Data!$D$2:$D$195,Data!$A$2:$A$195,$A9,Data!$B$2:$B$195,$B9,Data!$E$2:$E$195,"W")</f>
        <v>2</v>
      </c>
      <c r="J9" s="15" t="n">
        <v>1</v>
      </c>
      <c r="K9" s="14" t="n">
        <f aca="false">MATCH(C9,Tide_table!$A$4:$A$15,1)</f>
        <v>2</v>
      </c>
      <c r="L9" s="23" t="n">
        <f aca="false">INDEX(Tide_table!$A$4:$A$15,K9)</f>
        <v>46293.3430555556</v>
      </c>
      <c r="M9" s="23" t="n">
        <f aca="false">INDEX(Tide_table!$A$4:$A$15,K9+1)</f>
        <v>46293.5736111111</v>
      </c>
      <c r="N9" s="17" t="n">
        <f aca="false">INDEX(Tide_table!$B$4:$B$15,K9)</f>
        <v>0.55</v>
      </c>
      <c r="O9" s="17" t="n">
        <f aca="false">INDEX(Tide_table!$B$4:$B$15,K9+1)</f>
        <v>3.31</v>
      </c>
      <c r="P9" s="14" t="str">
        <f aca="false">INDEX(Tide_table!$C$4:$C$15,K9)</f>
        <v>NW</v>
      </c>
      <c r="Q9" s="14" t="str">
        <f aca="false">INDEX(Tide_table!$C$4:$C$15,K9+1)</f>
        <v>HW</v>
      </c>
      <c r="R9" s="17" t="n">
        <f aca="false">N9+(O9-N9)*(1-COS(PI()*(C9-L9)/(M9-L9)))/2</f>
        <v>1.93</v>
      </c>
      <c r="S9" s="16" t="n">
        <f aca="false">(C9-L9)*24</f>
        <v>2.76666666666667</v>
      </c>
      <c r="T9" s="16" t="n">
        <f aca="false">(M9-C9)*24</f>
        <v>2.76666666666667</v>
      </c>
      <c r="U9" s="14" t="str">
        <f aca="false">IF(MIN(S9,T9)&lt;=Tide_summary!$B$3,IF(IF(S9&lt;=T9,P9,Q9)="HW","High water","Low water"),IF(Q9="HW","Rising","Falling"))</f>
        <v>Rising</v>
      </c>
    </row>
    <row r="10" customFormat="false" ht="15" hidden="false" customHeight="false" outlineLevel="0" collapsed="false">
      <c r="A10" s="14" t="s">
        <v>3</v>
      </c>
      <c r="B10" s="14" t="s">
        <v>96</v>
      </c>
      <c r="C10" s="23" t="n">
        <f aca="false">DATE(VALUE(RIGHT(A10,4)),VALUE(MID(A10,4,2)),VALUE(LEFT(A10,2)))+TIMEVALUE(B10)</f>
        <v>46293.4722222222</v>
      </c>
      <c r="D10" s="14" t="n">
        <f aca="false">SUMIFS(Data!$D$2:$D$195,Data!$A$2:$A$195,$A10,Data!$B$2:$B$195,$B10)</f>
        <v>5</v>
      </c>
      <c r="E10" s="14" t="n">
        <f aca="false">SUMPRODUCT(--(COUNTIFS(Data!$A$2:$A$195,$A10,Data!$B$2:$B$195,$B10,Data!$C$2:$C$195,Abundance!$A$2:$A$20)&gt;0))</f>
        <v>2</v>
      </c>
      <c r="F10" s="14" t="n">
        <f aca="false">SUMIFS(Data!$D$2:$D$195,Data!$A$2:$A$195,$A10,Data!$B$2:$B$195,$B10,Data!$E$2:$E$195,"I")</f>
        <v>0</v>
      </c>
      <c r="G10" s="14" t="n">
        <f aca="false">SUMIFS(Data!$D$2:$D$195,Data!$A$2:$A$195,$A10,Data!$B$2:$B$195,$B10,Data!$E$2:$E$195,"F")</f>
        <v>3</v>
      </c>
      <c r="H10" s="14" t="n">
        <f aca="false">SUMIFS(Data!$D$2:$D$195,Data!$A$2:$A$195,$A10,Data!$B$2:$B$195,$B10,Data!$E$2:$E$195,"S")</f>
        <v>1</v>
      </c>
      <c r="I10" s="14" t="n">
        <f aca="false">SUMIFS(Data!$D$2:$D$195,Data!$A$2:$A$195,$A10,Data!$B$2:$B$195,$B10,Data!$E$2:$E$195,"W")</f>
        <v>1</v>
      </c>
      <c r="J10" s="15" t="n">
        <v>4.66666666666667</v>
      </c>
      <c r="K10" s="14" t="n">
        <f aca="false">MATCH(C10,Tide_table!$A$4:$A$15,1)</f>
        <v>2</v>
      </c>
      <c r="L10" s="23" t="n">
        <f aca="false">INDEX(Tide_table!$A$4:$A$15,K10)</f>
        <v>46293.3430555556</v>
      </c>
      <c r="M10" s="23" t="n">
        <f aca="false">INDEX(Tide_table!$A$4:$A$15,K10+1)</f>
        <v>46293.5736111111</v>
      </c>
      <c r="N10" s="17" t="n">
        <f aca="false">INDEX(Tide_table!$B$4:$B$15,K10)</f>
        <v>0.55</v>
      </c>
      <c r="O10" s="17" t="n">
        <f aca="false">INDEX(Tide_table!$B$4:$B$15,K10+1)</f>
        <v>3.31</v>
      </c>
      <c r="P10" s="14" t="str">
        <f aca="false">INDEX(Tide_table!$C$4:$C$15,K10)</f>
        <v>NW</v>
      </c>
      <c r="Q10" s="14" t="str">
        <f aca="false">INDEX(Tide_table!$C$4:$C$15,K10+1)</f>
        <v>HW</v>
      </c>
      <c r="R10" s="17" t="n">
        <f aca="false">N10+(O10-N10)*(1-COS(PI()*(C10-L10)/(M10-L10)))/2</f>
        <v>2.18961231006871</v>
      </c>
      <c r="S10" s="16" t="n">
        <f aca="false">(C10-L10)*24</f>
        <v>3.1</v>
      </c>
      <c r="T10" s="16" t="n">
        <f aca="false">(M10-C10)*24</f>
        <v>2.43333333333333</v>
      </c>
      <c r="U10" s="14" t="str">
        <f aca="false">IF(MIN(S10,T10)&lt;=Tide_summary!$B$3,IF(IF(S10&lt;=T10,P10,Q10)="HW","High water","Low water"),IF(Q10="HW","Rising","Falling"))</f>
        <v>Rising</v>
      </c>
    </row>
    <row r="11" customFormat="false" ht="15" hidden="false" customHeight="false" outlineLevel="0" collapsed="false">
      <c r="A11" s="14" t="s">
        <v>3</v>
      </c>
      <c r="B11" s="14" t="s">
        <v>97</v>
      </c>
      <c r="C11" s="23" t="n">
        <f aca="false">DATE(VALUE(RIGHT(A11,4)),VALUE(MID(A11,4,2)),VALUE(LEFT(A11,2)))+TIMEVALUE(B11)</f>
        <v>46293.4861111111</v>
      </c>
      <c r="D11" s="14" t="n">
        <f aca="false">SUMIFS(Data!$D$2:$D$195,Data!$A$2:$A$195,$A11,Data!$B$2:$B$195,$B11)</f>
        <v>4</v>
      </c>
      <c r="E11" s="14" t="n">
        <f aca="false">SUMPRODUCT(--(COUNTIFS(Data!$A$2:$A$195,$A11,Data!$B$2:$B$195,$B11,Data!$C$2:$C$195,Abundance!$A$2:$A$20)&gt;0))</f>
        <v>2</v>
      </c>
      <c r="F11" s="14" t="n">
        <f aca="false">SUMIFS(Data!$D$2:$D$195,Data!$A$2:$A$195,$A11,Data!$B$2:$B$195,$B11,Data!$E$2:$E$195,"I")</f>
        <v>0</v>
      </c>
      <c r="G11" s="14" t="n">
        <f aca="false">SUMIFS(Data!$D$2:$D$195,Data!$A$2:$A$195,$A11,Data!$B$2:$B$195,$B11,Data!$E$2:$E$195,"F")</f>
        <v>3</v>
      </c>
      <c r="H11" s="14" t="n">
        <f aca="false">SUMIFS(Data!$D$2:$D$195,Data!$A$2:$A$195,$A11,Data!$B$2:$B$195,$B11,Data!$E$2:$E$195,"S")</f>
        <v>1</v>
      </c>
      <c r="I11" s="14" t="n">
        <f aca="false">SUMIFS(Data!$D$2:$D$195,Data!$A$2:$A$195,$A11,Data!$B$2:$B$195,$B11,Data!$E$2:$E$195,"W")</f>
        <v>0</v>
      </c>
      <c r="J11" s="15" t="n">
        <v>6</v>
      </c>
      <c r="K11" s="14" t="n">
        <f aca="false">MATCH(C11,Tide_table!$A$4:$A$15,1)</f>
        <v>2</v>
      </c>
      <c r="L11" s="23" t="n">
        <f aca="false">INDEX(Tide_table!$A$4:$A$15,K11)</f>
        <v>46293.3430555556</v>
      </c>
      <c r="M11" s="23" t="n">
        <f aca="false">INDEX(Tide_table!$A$4:$A$15,K11+1)</f>
        <v>46293.5736111111</v>
      </c>
      <c r="N11" s="17" t="n">
        <f aca="false">INDEX(Tide_table!$B$4:$B$15,K11)</f>
        <v>0.55</v>
      </c>
      <c r="O11" s="17" t="n">
        <f aca="false">INDEX(Tide_table!$B$4:$B$15,K11+1)</f>
        <v>3.31</v>
      </c>
      <c r="P11" s="14" t="str">
        <f aca="false">INDEX(Tide_table!$C$4:$C$15,K11)</f>
        <v>NW</v>
      </c>
      <c r="Q11" s="14" t="str">
        <f aca="false">INDEX(Tide_table!$C$4:$C$15,K11+1)</f>
        <v>HW</v>
      </c>
      <c r="R11" s="17" t="n">
        <f aca="false">N11+(O11-N11)*(1-COS(PI()*(C11-L11)/(M11-L11)))/2</f>
        <v>2.43995392669825</v>
      </c>
      <c r="S11" s="16" t="n">
        <f aca="false">(C11-L11)*24</f>
        <v>3.43333333333333</v>
      </c>
      <c r="T11" s="16" t="n">
        <f aca="false">(M11-C11)*24</f>
        <v>2.1</v>
      </c>
      <c r="U11" s="14" t="str">
        <f aca="false">IF(MIN(S11,T11)&lt;=Tide_summary!$B$3,IF(IF(S11&lt;=T11,P11,Q11)="HW","High water","Low water"),IF(Q11="HW","Rising","Falling"))</f>
        <v>Rising</v>
      </c>
    </row>
    <row r="12" customFormat="false" ht="15" hidden="false" customHeight="false" outlineLevel="0" collapsed="false">
      <c r="A12" s="14" t="s">
        <v>3</v>
      </c>
      <c r="B12" s="14" t="s">
        <v>113</v>
      </c>
      <c r="C12" s="23" t="n">
        <f aca="false">DATE(VALUE(RIGHT(A12,4)),VALUE(MID(A12,4,2)),VALUE(LEFT(A12,2)))+TIMEVALUE(B12)</f>
        <v>46293.5</v>
      </c>
      <c r="D12" s="14" t="n">
        <f aca="false">SUMIFS(Data!$D$2:$D$195,Data!$A$2:$A$195,$A12,Data!$B$2:$B$195,$B12)</f>
        <v>0</v>
      </c>
      <c r="E12" s="14" t="n">
        <f aca="false">SUMPRODUCT(--(COUNTIFS(Data!$A$2:$A$195,$A12,Data!$B$2:$B$195,$B12,Data!$C$2:$C$195,Abundance!$A$2:$A$20)&gt;0))</f>
        <v>0</v>
      </c>
      <c r="F12" s="14" t="n">
        <f aca="false">SUMIFS(Data!$D$2:$D$195,Data!$A$2:$A$195,$A12,Data!$B$2:$B$195,$B12,Data!$E$2:$E$195,"I")</f>
        <v>0</v>
      </c>
      <c r="G12" s="14" t="n">
        <f aca="false">SUMIFS(Data!$D$2:$D$195,Data!$A$2:$A$195,$A12,Data!$B$2:$B$195,$B12,Data!$E$2:$E$195,"F")</f>
        <v>0</v>
      </c>
      <c r="H12" s="14" t="n">
        <f aca="false">SUMIFS(Data!$D$2:$D$195,Data!$A$2:$A$195,$A12,Data!$B$2:$B$195,$B12,Data!$E$2:$E$195,"S")</f>
        <v>0</v>
      </c>
      <c r="I12" s="14" t="n">
        <f aca="false">SUMIFS(Data!$D$2:$D$195,Data!$A$2:$A$195,$A12,Data!$B$2:$B$195,$B12,Data!$E$2:$E$195,"W")</f>
        <v>0</v>
      </c>
      <c r="J12" s="15" t="n">
        <v>7</v>
      </c>
      <c r="K12" s="14" t="n">
        <f aca="false">MATCH(C12,Tide_table!$A$4:$A$15,1)</f>
        <v>2</v>
      </c>
      <c r="L12" s="23" t="n">
        <f aca="false">INDEX(Tide_table!$A$4:$A$15,K12)</f>
        <v>46293.3430555556</v>
      </c>
      <c r="M12" s="23" t="n">
        <f aca="false">INDEX(Tide_table!$A$4:$A$15,K12+1)</f>
        <v>46293.5736111111</v>
      </c>
      <c r="N12" s="17" t="n">
        <f aca="false">INDEX(Tide_table!$B$4:$B$15,K12)</f>
        <v>0.55</v>
      </c>
      <c r="O12" s="17" t="n">
        <f aca="false">INDEX(Tide_table!$B$4:$B$15,K12+1)</f>
        <v>3.31</v>
      </c>
      <c r="P12" s="14" t="str">
        <f aca="false">INDEX(Tide_table!$C$4:$C$15,K12)</f>
        <v>NW</v>
      </c>
      <c r="Q12" s="14" t="str">
        <f aca="false">INDEX(Tide_table!$C$4:$C$15,K12+1)</f>
        <v>HW</v>
      </c>
      <c r="R12" s="17" t="n">
        <f aca="false">N12+(O12-N12)*(1-COS(PI()*(C12-L12)/(M12-L12)))/2</f>
        <v>2.67208521069264</v>
      </c>
      <c r="S12" s="16" t="n">
        <f aca="false">(C12-L12)*24</f>
        <v>3.76666666666667</v>
      </c>
      <c r="T12" s="16" t="n">
        <f aca="false">(M12-C12)*24</f>
        <v>1.76666666666667</v>
      </c>
      <c r="U12" s="14" t="str">
        <f aca="false">IF(MIN(S12,T12)&lt;=Tide_summary!$B$3,IF(IF(S12&lt;=T12,P12,Q12)="HW","High water","Low water"),IF(Q12="HW","Rising","Falling"))</f>
        <v>Rising</v>
      </c>
    </row>
    <row r="13" customFormat="false" ht="15" hidden="false" customHeight="false" outlineLevel="0" collapsed="false">
      <c r="A13" s="14" t="s">
        <v>3</v>
      </c>
      <c r="B13" s="14" t="s">
        <v>99</v>
      </c>
      <c r="C13" s="23" t="n">
        <f aca="false">DATE(VALUE(RIGHT(A13,4)),VALUE(MID(A13,4,2)),VALUE(LEFT(A13,2)))+TIMEVALUE(B13)</f>
        <v>46293.5138888889</v>
      </c>
      <c r="D13" s="14" t="n">
        <f aca="false">SUMIFS(Data!$D$2:$D$195,Data!$A$2:$A$195,$A13,Data!$B$2:$B$195,$B13)</f>
        <v>1</v>
      </c>
      <c r="E13" s="14" t="n">
        <f aca="false">SUMPRODUCT(--(COUNTIFS(Data!$A$2:$A$195,$A13,Data!$B$2:$B$195,$B13,Data!$C$2:$C$195,Abundance!$A$2:$A$20)&gt;0))</f>
        <v>1</v>
      </c>
      <c r="F13" s="14" t="n">
        <f aca="false">SUMIFS(Data!$D$2:$D$195,Data!$A$2:$A$195,$A13,Data!$B$2:$B$195,$B13,Data!$E$2:$E$195,"I")</f>
        <v>0</v>
      </c>
      <c r="G13" s="14" t="n">
        <f aca="false">SUMIFS(Data!$D$2:$D$195,Data!$A$2:$A$195,$A13,Data!$B$2:$B$195,$B13,Data!$E$2:$E$195,"F")</f>
        <v>0</v>
      </c>
      <c r="H13" s="14" t="n">
        <f aca="false">SUMIFS(Data!$D$2:$D$195,Data!$A$2:$A$195,$A13,Data!$B$2:$B$195,$B13,Data!$E$2:$E$195,"S")</f>
        <v>1</v>
      </c>
      <c r="I13" s="14" t="n">
        <f aca="false">SUMIFS(Data!$D$2:$D$195,Data!$A$2:$A$195,$A13,Data!$B$2:$B$195,$B13,Data!$E$2:$E$195,"W")</f>
        <v>0</v>
      </c>
      <c r="J13" s="15" t="n">
        <v>6</v>
      </c>
      <c r="K13" s="14" t="n">
        <f aca="false">MATCH(C13,Tide_table!$A$4:$A$15,1)</f>
        <v>2</v>
      </c>
      <c r="L13" s="23" t="n">
        <f aca="false">INDEX(Tide_table!$A$4:$A$15,K13)</f>
        <v>46293.3430555556</v>
      </c>
      <c r="M13" s="23" t="n">
        <f aca="false">INDEX(Tide_table!$A$4:$A$15,K13+1)</f>
        <v>46293.5736111111</v>
      </c>
      <c r="N13" s="17" t="n">
        <f aca="false">INDEX(Tide_table!$B$4:$B$15,K13)</f>
        <v>0.55</v>
      </c>
      <c r="O13" s="17" t="n">
        <f aca="false">INDEX(Tide_table!$B$4:$B$15,K13+1)</f>
        <v>3.31</v>
      </c>
      <c r="P13" s="14" t="str">
        <f aca="false">INDEX(Tide_table!$C$4:$C$15,K13)</f>
        <v>NW</v>
      </c>
      <c r="Q13" s="14" t="str">
        <f aca="false">INDEX(Tide_table!$C$4:$C$15,K13+1)</f>
        <v>HW</v>
      </c>
      <c r="R13" s="17" t="n">
        <f aca="false">N13+(O13-N13)*(1-COS(PI()*(C13-L13)/(M13-L13)))/2</f>
        <v>2.87771680947463</v>
      </c>
      <c r="S13" s="16" t="n">
        <f aca="false">(C13-L13)*24</f>
        <v>4.1</v>
      </c>
      <c r="T13" s="16" t="n">
        <f aca="false">(M13-C13)*24</f>
        <v>1.43333333333333</v>
      </c>
      <c r="U13" s="14" t="str">
        <f aca="false">IF(MIN(S13,T13)&lt;=Tide_summary!$B$3,IF(IF(S13&lt;=T13,P13,Q13)="HW","High water","Low water"),IF(Q13="HW","Rising","Falling"))</f>
        <v>High water</v>
      </c>
    </row>
    <row r="14" customFormat="false" ht="15" hidden="false" customHeight="false" outlineLevel="0" collapsed="false">
      <c r="A14" s="14" t="s">
        <v>3</v>
      </c>
      <c r="B14" s="14" t="s">
        <v>100</v>
      </c>
      <c r="C14" s="23" t="n">
        <f aca="false">DATE(VALUE(RIGHT(A14,4)),VALUE(MID(A14,4,2)),VALUE(LEFT(A14,2)))+TIMEVALUE(B14)</f>
        <v>46293.5277777778</v>
      </c>
      <c r="D14" s="14" t="n">
        <f aca="false">SUMIFS(Data!$D$2:$D$195,Data!$A$2:$A$195,$A14,Data!$B$2:$B$195,$B14)</f>
        <v>4</v>
      </c>
      <c r="E14" s="14" t="n">
        <f aca="false">SUMPRODUCT(--(COUNTIFS(Data!$A$2:$A$195,$A14,Data!$B$2:$B$195,$B14,Data!$C$2:$C$195,Abundance!$A$2:$A$20)&gt;0))</f>
        <v>2</v>
      </c>
      <c r="F14" s="14" t="n">
        <f aca="false">SUMIFS(Data!$D$2:$D$195,Data!$A$2:$A$195,$A14,Data!$B$2:$B$195,$B14,Data!$E$2:$E$195,"I")</f>
        <v>0</v>
      </c>
      <c r="G14" s="14" t="n">
        <f aca="false">SUMIFS(Data!$D$2:$D$195,Data!$A$2:$A$195,$A14,Data!$B$2:$B$195,$B14,Data!$E$2:$E$195,"F")</f>
        <v>3</v>
      </c>
      <c r="H14" s="14" t="n">
        <f aca="false">SUMIFS(Data!$D$2:$D$195,Data!$A$2:$A$195,$A14,Data!$B$2:$B$195,$B14,Data!$E$2:$E$195,"S")</f>
        <v>1</v>
      </c>
      <c r="I14" s="14" t="n">
        <f aca="false">SUMIFS(Data!$D$2:$D$195,Data!$A$2:$A$195,$A14,Data!$B$2:$B$195,$B14,Data!$E$2:$E$195,"W")</f>
        <v>0</v>
      </c>
      <c r="J14" s="15" t="n">
        <v>5</v>
      </c>
      <c r="K14" s="14" t="n">
        <f aca="false">MATCH(C14,Tide_table!$A$4:$A$15,1)</f>
        <v>2</v>
      </c>
      <c r="L14" s="23" t="n">
        <f aca="false">INDEX(Tide_table!$A$4:$A$15,K14)</f>
        <v>46293.3430555556</v>
      </c>
      <c r="M14" s="23" t="n">
        <f aca="false">INDEX(Tide_table!$A$4:$A$15,K14+1)</f>
        <v>46293.5736111111</v>
      </c>
      <c r="N14" s="17" t="n">
        <f aca="false">INDEX(Tide_table!$B$4:$B$15,K14)</f>
        <v>0.55</v>
      </c>
      <c r="O14" s="17" t="n">
        <f aca="false">INDEX(Tide_table!$B$4:$B$15,K14+1)</f>
        <v>3.31</v>
      </c>
      <c r="P14" s="14" t="str">
        <f aca="false">INDEX(Tide_table!$C$4:$C$15,K14)</f>
        <v>NW</v>
      </c>
      <c r="Q14" s="14" t="str">
        <f aca="false">INDEX(Tide_table!$C$4:$C$15,K14+1)</f>
        <v>HW</v>
      </c>
      <c r="R14" s="17" t="n">
        <f aca="false">N14+(O14-N14)*(1-COS(PI()*(C14-L14)/(M14-L14)))/2</f>
        <v>3.04950566788166</v>
      </c>
      <c r="S14" s="16" t="n">
        <f aca="false">(C14-L14)*24</f>
        <v>4.43333333333333</v>
      </c>
      <c r="T14" s="16" t="n">
        <f aca="false">(M14-C14)*24</f>
        <v>1.1</v>
      </c>
      <c r="U14" s="14" t="str">
        <f aca="false">IF(MIN(S14,T14)&lt;=Tide_summary!$B$3,IF(IF(S14&lt;=T14,P14,Q14)="HW","High water","Low water"),IF(Q14="HW","Rising","Falling"))</f>
        <v>High water</v>
      </c>
    </row>
    <row r="15" customFormat="false" ht="15" hidden="false" customHeight="false" outlineLevel="0" collapsed="false">
      <c r="A15" s="14" t="s">
        <v>3</v>
      </c>
      <c r="B15" s="14" t="s">
        <v>101</v>
      </c>
      <c r="C15" s="23" t="n">
        <f aca="false">DATE(VALUE(RIGHT(A15,4)),VALUE(MID(A15,4,2)),VALUE(LEFT(A15,2)))+TIMEVALUE(B15)</f>
        <v>46293.5416666667</v>
      </c>
      <c r="D15" s="14" t="n">
        <f aca="false">SUMIFS(Data!$D$2:$D$195,Data!$A$2:$A$195,$A15,Data!$B$2:$B$195,$B15)</f>
        <v>6</v>
      </c>
      <c r="E15" s="14" t="n">
        <f aca="false">SUMPRODUCT(--(COUNTIFS(Data!$A$2:$A$195,$A15,Data!$B$2:$B$195,$B15,Data!$C$2:$C$195,Abundance!$A$2:$A$20)&gt;0))</f>
        <v>1</v>
      </c>
      <c r="F15" s="14" t="n">
        <f aca="false">SUMIFS(Data!$D$2:$D$195,Data!$A$2:$A$195,$A15,Data!$B$2:$B$195,$B15,Data!$E$2:$E$195,"I")</f>
        <v>6</v>
      </c>
      <c r="G15" s="14" t="n">
        <f aca="false">SUMIFS(Data!$D$2:$D$195,Data!$A$2:$A$195,$A15,Data!$B$2:$B$195,$B15,Data!$E$2:$E$195,"F")</f>
        <v>0</v>
      </c>
      <c r="H15" s="14" t="n">
        <f aca="false">SUMIFS(Data!$D$2:$D$195,Data!$A$2:$A$195,$A15,Data!$B$2:$B$195,$B15,Data!$E$2:$E$195,"S")</f>
        <v>0</v>
      </c>
      <c r="I15" s="14" t="n">
        <f aca="false">SUMIFS(Data!$D$2:$D$195,Data!$A$2:$A$195,$A15,Data!$B$2:$B$195,$B15,Data!$E$2:$E$195,"W")</f>
        <v>0</v>
      </c>
      <c r="J15" s="15" t="n">
        <v>6</v>
      </c>
      <c r="K15" s="14" t="n">
        <f aca="false">MATCH(C15,Tide_table!$A$4:$A$15,1)</f>
        <v>2</v>
      </c>
      <c r="L15" s="23" t="n">
        <f aca="false">INDEX(Tide_table!$A$4:$A$15,K15)</f>
        <v>46293.3430555556</v>
      </c>
      <c r="M15" s="23" t="n">
        <f aca="false">INDEX(Tide_table!$A$4:$A$15,K15+1)</f>
        <v>46293.5736111111</v>
      </c>
      <c r="N15" s="17" t="n">
        <f aca="false">INDEX(Tide_table!$B$4:$B$15,K15)</f>
        <v>0.55</v>
      </c>
      <c r="O15" s="17" t="n">
        <f aca="false">INDEX(Tide_table!$B$4:$B$15,K15+1)</f>
        <v>3.31</v>
      </c>
      <c r="P15" s="14" t="str">
        <f aca="false">INDEX(Tide_table!$C$4:$C$15,K15)</f>
        <v>NW</v>
      </c>
      <c r="Q15" s="14" t="str">
        <f aca="false">INDEX(Tide_table!$C$4:$C$15,K15+1)</f>
        <v>HW</v>
      </c>
      <c r="R15" s="17" t="n">
        <f aca="false">N15+(O15-N15)*(1-COS(PI()*(C15-L15)/(M15-L15)))/2</f>
        <v>3.1813172469077</v>
      </c>
      <c r="S15" s="16" t="n">
        <f aca="false">(C15-L15)*24</f>
        <v>4.76666666666667</v>
      </c>
      <c r="T15" s="16" t="n">
        <f aca="false">(M15-C15)*24</f>
        <v>0.766666666666667</v>
      </c>
      <c r="U15" s="14" t="str">
        <f aca="false">IF(MIN(S15,T15)&lt;=Tide_summary!$B$3,IF(IF(S15&lt;=T15,P15,Q15)="HW","High water","Low water"),IF(Q15="HW","Rising","Falling"))</f>
        <v>High water</v>
      </c>
    </row>
    <row r="16" customFormat="false" ht="15" hidden="false" customHeight="false" outlineLevel="0" collapsed="false">
      <c r="A16" s="14" t="s">
        <v>3</v>
      </c>
      <c r="B16" s="14" t="s">
        <v>115</v>
      </c>
      <c r="C16" s="23" t="n">
        <f aca="false">DATE(VALUE(RIGHT(A16,4)),VALUE(MID(A16,4,2)),VALUE(LEFT(A16,2)))+TIMEVALUE(B16)</f>
        <v>46293.5555555556</v>
      </c>
      <c r="D16" s="14" t="n">
        <f aca="false">SUMIFS(Data!$D$2:$D$195,Data!$A$2:$A$195,$A16,Data!$B$2:$B$195,$B16)</f>
        <v>0</v>
      </c>
      <c r="E16" s="14" t="n">
        <f aca="false">SUMPRODUCT(--(COUNTIFS(Data!$A$2:$A$195,$A16,Data!$B$2:$B$195,$B16,Data!$C$2:$C$195,Abundance!$A$2:$A$20)&gt;0))</f>
        <v>0</v>
      </c>
      <c r="F16" s="14" t="n">
        <f aca="false">SUMIFS(Data!$D$2:$D$195,Data!$A$2:$A$195,$A16,Data!$B$2:$B$195,$B16,Data!$E$2:$E$195,"I")</f>
        <v>0</v>
      </c>
      <c r="G16" s="14" t="n">
        <f aca="false">SUMIFS(Data!$D$2:$D$195,Data!$A$2:$A$195,$A16,Data!$B$2:$B$195,$B16,Data!$E$2:$E$195,"F")</f>
        <v>0</v>
      </c>
      <c r="H16" s="14" t="n">
        <f aca="false">SUMIFS(Data!$D$2:$D$195,Data!$A$2:$A$195,$A16,Data!$B$2:$B$195,$B16,Data!$E$2:$E$195,"S")</f>
        <v>0</v>
      </c>
      <c r="I16" s="14" t="n">
        <f aca="false">SUMIFS(Data!$D$2:$D$195,Data!$A$2:$A$195,$A16,Data!$B$2:$B$195,$B16,Data!$E$2:$E$195,"W")</f>
        <v>0</v>
      </c>
      <c r="J16" s="15" t="n">
        <v>1</v>
      </c>
      <c r="K16" s="14" t="n">
        <f aca="false">MATCH(C16,Tide_table!$A$4:$A$15,1)</f>
        <v>2</v>
      </c>
      <c r="L16" s="23" t="n">
        <f aca="false">INDEX(Tide_table!$A$4:$A$15,K16)</f>
        <v>46293.3430555556</v>
      </c>
      <c r="M16" s="23" t="n">
        <f aca="false">INDEX(Tide_table!$A$4:$A$15,K16+1)</f>
        <v>46293.5736111111</v>
      </c>
      <c r="N16" s="17" t="n">
        <f aca="false">INDEX(Tide_table!$B$4:$B$15,K16)</f>
        <v>0.55</v>
      </c>
      <c r="O16" s="17" t="n">
        <f aca="false">INDEX(Tide_table!$B$4:$B$15,K16+1)</f>
        <v>3.31</v>
      </c>
      <c r="P16" s="14" t="str">
        <f aca="false">INDEX(Tide_table!$C$4:$C$15,K16)</f>
        <v>NW</v>
      </c>
      <c r="Q16" s="14" t="str">
        <f aca="false">INDEX(Tide_table!$C$4:$C$15,K16+1)</f>
        <v>HW</v>
      </c>
      <c r="R16" s="17" t="n">
        <f aca="false">N16+(O16-N16)*(1-COS(PI()*(C16-L16)/(M16-L16)))/2</f>
        <v>3.26844458662253</v>
      </c>
      <c r="S16" s="16" t="n">
        <f aca="false">(C16-L16)*24</f>
        <v>5.1</v>
      </c>
      <c r="T16" s="16" t="n">
        <f aca="false">(M16-C16)*24</f>
        <v>0.433333333333333</v>
      </c>
      <c r="U16" s="14" t="str">
        <f aca="false">IF(MIN(S16,T16)&lt;=Tide_summary!$B$3,IF(IF(S16&lt;=T16,P16,Q16)="HW","High water","Low water"),IF(Q16="HW","Rising","Falling"))</f>
        <v>High water</v>
      </c>
    </row>
    <row r="17" customFormat="false" ht="15" hidden="false" customHeight="false" outlineLevel="0" collapsed="false">
      <c r="A17" s="14" t="s">
        <v>3</v>
      </c>
      <c r="B17" s="14" t="s">
        <v>102</v>
      </c>
      <c r="C17" s="23" t="n">
        <f aca="false">DATE(VALUE(RIGHT(A17,4)),VALUE(MID(A17,4,2)),VALUE(LEFT(A17,2)))+TIMEVALUE(B17)</f>
        <v>46293.5694444444</v>
      </c>
      <c r="D17" s="14" t="n">
        <f aca="false">SUMIFS(Data!$D$2:$D$195,Data!$A$2:$A$195,$A17,Data!$B$2:$B$195,$B17)</f>
        <v>1</v>
      </c>
      <c r="E17" s="14" t="n">
        <f aca="false">SUMPRODUCT(--(COUNTIFS(Data!$A$2:$A$195,$A17,Data!$B$2:$B$195,$B17,Data!$C$2:$C$195,Abundance!$A$2:$A$20)&gt;0))</f>
        <v>1</v>
      </c>
      <c r="F17" s="14" t="n">
        <f aca="false">SUMIFS(Data!$D$2:$D$195,Data!$A$2:$A$195,$A17,Data!$B$2:$B$195,$B17,Data!$E$2:$E$195,"I")</f>
        <v>0</v>
      </c>
      <c r="G17" s="14" t="n">
        <f aca="false">SUMIFS(Data!$D$2:$D$195,Data!$A$2:$A$195,$A17,Data!$B$2:$B$195,$B17,Data!$E$2:$E$195,"F")</f>
        <v>0</v>
      </c>
      <c r="H17" s="14" t="n">
        <f aca="false">SUMIFS(Data!$D$2:$D$195,Data!$A$2:$A$195,$A17,Data!$B$2:$B$195,$B17,Data!$E$2:$E$195,"S")</f>
        <v>0</v>
      </c>
      <c r="I17" s="14" t="n">
        <f aca="false">SUMIFS(Data!$D$2:$D$195,Data!$A$2:$A$195,$A17,Data!$B$2:$B$195,$B17,Data!$E$2:$E$195,"W")</f>
        <v>1</v>
      </c>
      <c r="J17" s="15" t="n">
        <v>0</v>
      </c>
      <c r="K17" s="14" t="n">
        <f aca="false">MATCH(C17,Tide_table!$A$4:$A$15,1)</f>
        <v>2</v>
      </c>
      <c r="L17" s="23" t="n">
        <f aca="false">INDEX(Tide_table!$A$4:$A$15,K17)</f>
        <v>46293.3430555556</v>
      </c>
      <c r="M17" s="23" t="n">
        <f aca="false">INDEX(Tide_table!$A$4:$A$15,K17+1)</f>
        <v>46293.5736111111</v>
      </c>
      <c r="N17" s="17" t="n">
        <f aca="false">INDEX(Tide_table!$B$4:$B$15,K17)</f>
        <v>0.55</v>
      </c>
      <c r="O17" s="17" t="n">
        <f aca="false">INDEX(Tide_table!$B$4:$B$15,K17+1)</f>
        <v>3.31</v>
      </c>
      <c r="P17" s="14" t="str">
        <f aca="false">INDEX(Tide_table!$C$4:$C$15,K17)</f>
        <v>NW</v>
      </c>
      <c r="Q17" s="14" t="str">
        <f aca="false">INDEX(Tide_table!$C$4:$C$15,K17+1)</f>
        <v>HW</v>
      </c>
      <c r="R17" s="17" t="n">
        <f aca="false">N17+(O17-N17)*(1-COS(PI()*(C17-L17)/(M17-L17)))/2</f>
        <v>3.30777639058395</v>
      </c>
      <c r="S17" s="16" t="n">
        <f aca="false">(C17-L17)*24</f>
        <v>5.43333333333333</v>
      </c>
      <c r="T17" s="16" t="n">
        <f aca="false">(M17-C17)*24</f>
        <v>0.1</v>
      </c>
      <c r="U17" s="14" t="str">
        <f aca="false">IF(MIN(S17,T17)&lt;=Tide_summary!$B$3,IF(IF(S17&lt;=T17,P17,Q17)="HW","High water","Low water"),IF(Q17="HW","Rising","Falling"))</f>
        <v>High water</v>
      </c>
    </row>
    <row r="18" customFormat="false" ht="15" hidden="false" customHeight="false" outlineLevel="0" collapsed="false">
      <c r="A18" s="14" t="s">
        <v>3</v>
      </c>
      <c r="B18" s="14" t="s">
        <v>103</v>
      </c>
      <c r="C18" s="23" t="n">
        <f aca="false">DATE(VALUE(RIGHT(A18,4)),VALUE(MID(A18,4,2)),VALUE(LEFT(A18,2)))+TIMEVALUE(B18)</f>
        <v>46293.5833333333</v>
      </c>
      <c r="D18" s="14" t="n">
        <f aca="false">SUMIFS(Data!$D$2:$D$195,Data!$A$2:$A$195,$A18,Data!$B$2:$B$195,$B18)</f>
        <v>5</v>
      </c>
      <c r="E18" s="14" t="n">
        <f aca="false">SUMPRODUCT(--(COUNTIFS(Data!$A$2:$A$195,$A18,Data!$B$2:$B$195,$B18,Data!$C$2:$C$195,Abundance!$A$2:$A$20)&gt;0))</f>
        <v>3</v>
      </c>
      <c r="F18" s="14" t="n">
        <f aca="false">SUMIFS(Data!$D$2:$D$195,Data!$A$2:$A$195,$A18,Data!$B$2:$B$195,$B18,Data!$E$2:$E$195,"I")</f>
        <v>1</v>
      </c>
      <c r="G18" s="14" t="n">
        <f aca="false">SUMIFS(Data!$D$2:$D$195,Data!$A$2:$A$195,$A18,Data!$B$2:$B$195,$B18,Data!$E$2:$E$195,"F")</f>
        <v>0</v>
      </c>
      <c r="H18" s="14" t="n">
        <f aca="false">SUMIFS(Data!$D$2:$D$195,Data!$A$2:$A$195,$A18,Data!$B$2:$B$195,$B18,Data!$E$2:$E$195,"S")</f>
        <v>0</v>
      </c>
      <c r="I18" s="14" t="n">
        <f aca="false">SUMIFS(Data!$D$2:$D$195,Data!$A$2:$A$195,$A18,Data!$B$2:$B$195,$B18,Data!$E$2:$E$195,"W")</f>
        <v>4</v>
      </c>
      <c r="J18" s="15" t="n">
        <v>1</v>
      </c>
      <c r="K18" s="14" t="n">
        <f aca="false">MATCH(C18,Tide_table!$A$4:$A$15,1)</f>
        <v>3</v>
      </c>
      <c r="L18" s="23" t="n">
        <f aca="false">INDEX(Tide_table!$A$4:$A$15,K18)</f>
        <v>46293.5736111111</v>
      </c>
      <c r="M18" s="23" t="n">
        <f aca="false">INDEX(Tide_table!$A$4:$A$15,K18+1)</f>
        <v>46293.8576388889</v>
      </c>
      <c r="N18" s="17" t="n">
        <f aca="false">INDEX(Tide_table!$B$4:$B$15,K18)</f>
        <v>3.31</v>
      </c>
      <c r="O18" s="17" t="n">
        <f aca="false">INDEX(Tide_table!$B$4:$B$15,K18+1)</f>
        <v>0.51</v>
      </c>
      <c r="P18" s="14" t="str">
        <f aca="false">INDEX(Tide_table!$C$4:$C$15,K18)</f>
        <v>HW</v>
      </c>
      <c r="Q18" s="14" t="str">
        <f aca="false">INDEX(Tide_table!$C$4:$C$15,K18+1)</f>
        <v>NW</v>
      </c>
      <c r="R18" s="17" t="n">
        <f aca="false">N18+(O18-N18)*(1-COS(PI()*(C18-L18)/(M18-L18)))/2</f>
        <v>3.30191297688939</v>
      </c>
      <c r="S18" s="16" t="n">
        <f aca="false">(C18-L18)*24</f>
        <v>0.233333333333333</v>
      </c>
      <c r="T18" s="16" t="n">
        <f aca="false">(M18-C18)*24</f>
        <v>6.58333333333333</v>
      </c>
      <c r="U18" s="14" t="str">
        <f aca="false">IF(MIN(S18,T18)&lt;=Tide_summary!$B$3,IF(IF(S18&lt;=T18,P18,Q18)="HW","High water","Low water"),IF(Q18="HW","Rising","Falling"))</f>
        <v>High water</v>
      </c>
    </row>
    <row r="19" customFormat="false" ht="15" hidden="false" customHeight="false" outlineLevel="0" collapsed="false">
      <c r="A19" s="14" t="s">
        <v>3</v>
      </c>
      <c r="B19" s="14" t="s">
        <v>124</v>
      </c>
      <c r="C19" s="23" t="n">
        <f aca="false">DATE(VALUE(RIGHT(A19,4)),VALUE(MID(A19,4,2)),VALUE(LEFT(A19,2)))+TIMEVALUE(B19)</f>
        <v>46293.5972222222</v>
      </c>
      <c r="D19" s="14" t="n">
        <f aca="false">SUMIFS(Data!$D$2:$D$195,Data!$A$2:$A$195,$A19,Data!$B$2:$B$195,$B19)</f>
        <v>0</v>
      </c>
      <c r="E19" s="14" t="n">
        <f aca="false">SUMPRODUCT(--(COUNTIFS(Data!$A$2:$A$195,$A19,Data!$B$2:$B$195,$B19,Data!$C$2:$C$195,Abundance!$A$2:$A$20)&gt;0))</f>
        <v>0</v>
      </c>
      <c r="F19" s="14" t="n">
        <f aca="false">SUMIFS(Data!$D$2:$D$195,Data!$A$2:$A$195,$A19,Data!$B$2:$B$195,$B19,Data!$E$2:$E$195,"I")</f>
        <v>0</v>
      </c>
      <c r="G19" s="14" t="n">
        <f aca="false">SUMIFS(Data!$D$2:$D$195,Data!$A$2:$A$195,$A19,Data!$B$2:$B$195,$B19,Data!$E$2:$E$195,"F")</f>
        <v>0</v>
      </c>
      <c r="H19" s="14" t="n">
        <f aca="false">SUMIFS(Data!$D$2:$D$195,Data!$A$2:$A$195,$A19,Data!$B$2:$B$195,$B19,Data!$E$2:$E$195,"S")</f>
        <v>0</v>
      </c>
      <c r="I19" s="14" t="n">
        <f aca="false">SUMIFS(Data!$D$2:$D$195,Data!$A$2:$A$195,$A19,Data!$B$2:$B$195,$B19,Data!$E$2:$E$195,"W")</f>
        <v>0</v>
      </c>
      <c r="J19" s="15" t="n">
        <v>2</v>
      </c>
      <c r="K19" s="14" t="n">
        <f aca="false">MATCH(C19,Tide_table!$A$4:$A$15,1)</f>
        <v>3</v>
      </c>
      <c r="L19" s="23" t="n">
        <f aca="false">INDEX(Tide_table!$A$4:$A$15,K19)</f>
        <v>46293.5736111111</v>
      </c>
      <c r="M19" s="23" t="n">
        <f aca="false">INDEX(Tide_table!$A$4:$A$15,K19+1)</f>
        <v>46293.8576388889</v>
      </c>
      <c r="N19" s="17" t="n">
        <f aca="false">INDEX(Tide_table!$B$4:$B$15,K19)</f>
        <v>3.31</v>
      </c>
      <c r="O19" s="17" t="n">
        <f aca="false">INDEX(Tide_table!$B$4:$B$15,K19+1)</f>
        <v>0.51</v>
      </c>
      <c r="P19" s="14" t="str">
        <f aca="false">INDEX(Tide_table!$C$4:$C$15,K19)</f>
        <v>HW</v>
      </c>
      <c r="Q19" s="14" t="str">
        <f aca="false">INDEX(Tide_table!$C$4:$C$15,K19+1)</f>
        <v>NW</v>
      </c>
      <c r="R19" s="17" t="n">
        <f aca="false">N19+(O19-N19)*(1-COS(PI()*(C19-L19)/(M19-L19)))/2</f>
        <v>3.26252781651463</v>
      </c>
      <c r="S19" s="16" t="n">
        <f aca="false">(C19-L19)*24</f>
        <v>0.566666666666667</v>
      </c>
      <c r="T19" s="16" t="n">
        <f aca="false">(M19-C19)*24</f>
        <v>6.25</v>
      </c>
      <c r="U19" s="14" t="str">
        <f aca="false">IF(MIN(S19,T19)&lt;=Tide_summary!$B$3,IF(IF(S19&lt;=T19,P19,Q19)="HW","High water","Low water"),IF(Q19="HW","Rising","Falling"))</f>
        <v>High water</v>
      </c>
    </row>
    <row r="20" customFormat="false" ht="15" hidden="false" customHeight="false" outlineLevel="0" collapsed="false">
      <c r="A20" s="14" t="s">
        <v>3</v>
      </c>
      <c r="B20" s="14" t="s">
        <v>116</v>
      </c>
      <c r="C20" s="23" t="n">
        <f aca="false">DATE(VALUE(RIGHT(A20,4)),VALUE(MID(A20,4,2)),VALUE(LEFT(A20,2)))+TIMEVALUE(B20)</f>
        <v>46293.6111111111</v>
      </c>
      <c r="D20" s="14" t="n">
        <f aca="false">SUMIFS(Data!$D$2:$D$195,Data!$A$2:$A$195,$A20,Data!$B$2:$B$195,$B20)</f>
        <v>0</v>
      </c>
      <c r="E20" s="14" t="n">
        <f aca="false">SUMPRODUCT(--(COUNTIFS(Data!$A$2:$A$195,$A20,Data!$B$2:$B$195,$B20,Data!$C$2:$C$195,Abundance!$A$2:$A$20)&gt;0))</f>
        <v>0</v>
      </c>
      <c r="F20" s="14" t="n">
        <f aca="false">SUMIFS(Data!$D$2:$D$195,Data!$A$2:$A$195,$A20,Data!$B$2:$B$195,$B20,Data!$E$2:$E$195,"I")</f>
        <v>0</v>
      </c>
      <c r="G20" s="14" t="n">
        <f aca="false">SUMIFS(Data!$D$2:$D$195,Data!$A$2:$A$195,$A20,Data!$B$2:$B$195,$B20,Data!$E$2:$E$195,"F")</f>
        <v>0</v>
      </c>
      <c r="H20" s="14" t="n">
        <f aca="false">SUMIFS(Data!$D$2:$D$195,Data!$A$2:$A$195,$A20,Data!$B$2:$B$195,$B20,Data!$E$2:$E$195,"S")</f>
        <v>0</v>
      </c>
      <c r="I20" s="14" t="n">
        <f aca="false">SUMIFS(Data!$D$2:$D$195,Data!$A$2:$A$195,$A20,Data!$B$2:$B$195,$B20,Data!$E$2:$E$195,"W")</f>
        <v>0</v>
      </c>
      <c r="J20" s="15" t="n">
        <v>1</v>
      </c>
      <c r="K20" s="14" t="n">
        <f aca="false">MATCH(C20,Tide_table!$A$4:$A$15,1)</f>
        <v>3</v>
      </c>
      <c r="L20" s="23" t="n">
        <f aca="false">INDEX(Tide_table!$A$4:$A$15,K20)</f>
        <v>46293.5736111111</v>
      </c>
      <c r="M20" s="23" t="n">
        <f aca="false">INDEX(Tide_table!$A$4:$A$15,K20+1)</f>
        <v>46293.8576388889</v>
      </c>
      <c r="N20" s="17" t="n">
        <f aca="false">INDEX(Tide_table!$B$4:$B$15,K20)</f>
        <v>3.31</v>
      </c>
      <c r="O20" s="17" t="n">
        <f aca="false">INDEX(Tide_table!$B$4:$B$15,K20+1)</f>
        <v>0.51</v>
      </c>
      <c r="P20" s="14" t="str">
        <f aca="false">INDEX(Tide_table!$C$4:$C$15,K20)</f>
        <v>HW</v>
      </c>
      <c r="Q20" s="14" t="str">
        <f aca="false">INDEX(Tide_table!$C$4:$C$15,K20+1)</f>
        <v>NW</v>
      </c>
      <c r="R20" s="17" t="n">
        <f aca="false">N20+(O20-N20)*(1-COS(PI()*(C20-L20)/(M20-L20)))/2</f>
        <v>3.19128564380398</v>
      </c>
      <c r="S20" s="16" t="n">
        <f aca="false">(C20-L20)*24</f>
        <v>0.9</v>
      </c>
      <c r="T20" s="16" t="n">
        <f aca="false">(M20-C20)*24</f>
        <v>5.91666666666667</v>
      </c>
      <c r="U20" s="14" t="str">
        <f aca="false">IF(MIN(S20,T20)&lt;=Tide_summary!$B$3,IF(IF(S20&lt;=T20,P20,Q20)="HW","High water","Low water"),IF(Q20="HW","Rising","Falling"))</f>
        <v>High water</v>
      </c>
    </row>
    <row r="21" customFormat="false" ht="15" hidden="false" customHeight="false" outlineLevel="0" collapsed="false">
      <c r="A21" s="14" t="s">
        <v>3</v>
      </c>
      <c r="B21" s="14" t="s">
        <v>105</v>
      </c>
      <c r="C21" s="23" t="n">
        <f aca="false">DATE(VALUE(RIGHT(A21,4)),VALUE(MID(A21,4,2)),VALUE(LEFT(A21,2)))+TIMEVALUE(B21)</f>
        <v>46293.625</v>
      </c>
      <c r="D21" s="14" t="n">
        <f aca="false">SUMIFS(Data!$D$2:$D$195,Data!$A$2:$A$195,$A21,Data!$B$2:$B$195,$B21)</f>
        <v>1</v>
      </c>
      <c r="E21" s="14" t="n">
        <f aca="false">SUMPRODUCT(--(COUNTIFS(Data!$A$2:$A$195,$A21,Data!$B$2:$B$195,$B21,Data!$C$2:$C$195,Abundance!$A$2:$A$20)&gt;0))</f>
        <v>1</v>
      </c>
      <c r="F21" s="14" t="n">
        <f aca="false">SUMIFS(Data!$D$2:$D$195,Data!$A$2:$A$195,$A21,Data!$B$2:$B$195,$B21,Data!$E$2:$E$195,"I")</f>
        <v>0</v>
      </c>
      <c r="G21" s="14" t="n">
        <f aca="false">SUMIFS(Data!$D$2:$D$195,Data!$A$2:$A$195,$A21,Data!$B$2:$B$195,$B21,Data!$E$2:$E$195,"F")</f>
        <v>0</v>
      </c>
      <c r="H21" s="14" t="n">
        <f aca="false">SUMIFS(Data!$D$2:$D$195,Data!$A$2:$A$195,$A21,Data!$B$2:$B$195,$B21,Data!$E$2:$E$195,"S")</f>
        <v>0</v>
      </c>
      <c r="I21" s="14" t="n">
        <f aca="false">SUMIFS(Data!$D$2:$D$195,Data!$A$2:$A$195,$A21,Data!$B$2:$B$195,$B21,Data!$E$2:$E$195,"W")</f>
        <v>1</v>
      </c>
      <c r="J21" s="15" t="n">
        <v>1</v>
      </c>
      <c r="K21" s="14" t="n">
        <f aca="false">MATCH(C21,Tide_table!$A$4:$A$15,1)</f>
        <v>3</v>
      </c>
      <c r="L21" s="23" t="n">
        <f aca="false">INDEX(Tide_table!$A$4:$A$15,K21)</f>
        <v>46293.5736111111</v>
      </c>
      <c r="M21" s="23" t="n">
        <f aca="false">INDEX(Tide_table!$A$4:$A$15,K21+1)</f>
        <v>46293.8576388889</v>
      </c>
      <c r="N21" s="17" t="n">
        <f aca="false">INDEX(Tide_table!$B$4:$B$15,K21)</f>
        <v>3.31</v>
      </c>
      <c r="O21" s="17" t="n">
        <f aca="false">INDEX(Tide_table!$B$4:$B$15,K21+1)</f>
        <v>0.51</v>
      </c>
      <c r="P21" s="14" t="str">
        <f aca="false">INDEX(Tide_table!$C$4:$C$15,K21)</f>
        <v>HW</v>
      </c>
      <c r="Q21" s="14" t="str">
        <f aca="false">INDEX(Tide_table!$C$4:$C$15,K21+1)</f>
        <v>NW</v>
      </c>
      <c r="R21" s="17" t="n">
        <f aca="false">N21+(O21-N21)*(1-COS(PI()*(C21-L21)/(M21-L21)))/2</f>
        <v>3.08986447435696</v>
      </c>
      <c r="S21" s="16" t="n">
        <f aca="false">(C21-L21)*24</f>
        <v>1.23333333333333</v>
      </c>
      <c r="T21" s="16" t="n">
        <f aca="false">(M21-C21)*24</f>
        <v>5.58333333333333</v>
      </c>
      <c r="U21" s="14" t="str">
        <f aca="false">IF(MIN(S21,T21)&lt;=Tide_summary!$B$3,IF(IF(S21&lt;=T21,P21,Q21)="HW","High water","Low water"),IF(Q21="HW","Rising","Falling"))</f>
        <v>High water</v>
      </c>
    </row>
    <row r="22" customFormat="false" ht="15" hidden="false" customHeight="false" outlineLevel="0" collapsed="false">
      <c r="A22" s="14" t="s">
        <v>3</v>
      </c>
      <c r="B22" s="14" t="s">
        <v>125</v>
      </c>
      <c r="C22" s="23" t="n">
        <f aca="false">DATE(VALUE(RIGHT(A22,4)),VALUE(MID(A22,4,2)),VALUE(LEFT(A22,2)))+TIMEVALUE(B22)</f>
        <v>46293.6388888889</v>
      </c>
      <c r="D22" s="14" t="n">
        <f aca="false">SUMIFS(Data!$D$2:$D$195,Data!$A$2:$A$195,$A22,Data!$B$2:$B$195,$B22)</f>
        <v>0</v>
      </c>
      <c r="E22" s="14" t="n">
        <f aca="false">SUMPRODUCT(--(COUNTIFS(Data!$A$2:$A$195,$A22,Data!$B$2:$B$195,$B22,Data!$C$2:$C$195,Abundance!$A$2:$A$20)&gt;0))</f>
        <v>0</v>
      </c>
      <c r="F22" s="14" t="n">
        <f aca="false">SUMIFS(Data!$D$2:$D$195,Data!$A$2:$A$195,$A22,Data!$B$2:$B$195,$B22,Data!$E$2:$E$195,"I")</f>
        <v>0</v>
      </c>
      <c r="G22" s="14" t="n">
        <f aca="false">SUMIFS(Data!$D$2:$D$195,Data!$A$2:$A$195,$A22,Data!$B$2:$B$195,$B22,Data!$E$2:$E$195,"F")</f>
        <v>0</v>
      </c>
      <c r="H22" s="14" t="n">
        <f aca="false">SUMIFS(Data!$D$2:$D$195,Data!$A$2:$A$195,$A22,Data!$B$2:$B$195,$B22,Data!$E$2:$E$195,"S")</f>
        <v>0</v>
      </c>
      <c r="I22" s="14" t="n">
        <f aca="false">SUMIFS(Data!$D$2:$D$195,Data!$A$2:$A$195,$A22,Data!$B$2:$B$195,$B22,Data!$E$2:$E$195,"W")</f>
        <v>0</v>
      </c>
      <c r="J22" s="15" t="n">
        <v>1</v>
      </c>
      <c r="K22" s="14" t="n">
        <f aca="false">MATCH(C22,Tide_table!$A$4:$A$15,1)</f>
        <v>3</v>
      </c>
      <c r="L22" s="23" t="n">
        <f aca="false">INDEX(Tide_table!$A$4:$A$15,K22)</f>
        <v>46293.5736111111</v>
      </c>
      <c r="M22" s="23" t="n">
        <f aca="false">INDEX(Tide_table!$A$4:$A$15,K22+1)</f>
        <v>46293.8576388889</v>
      </c>
      <c r="N22" s="17" t="n">
        <f aca="false">INDEX(Tide_table!$B$4:$B$15,K22)</f>
        <v>3.31</v>
      </c>
      <c r="O22" s="17" t="n">
        <f aca="false">INDEX(Tide_table!$B$4:$B$15,K22+1)</f>
        <v>0.51</v>
      </c>
      <c r="P22" s="14" t="str">
        <f aca="false">INDEX(Tide_table!$C$4:$C$15,K22)</f>
        <v>HW</v>
      </c>
      <c r="Q22" s="14" t="str">
        <f aca="false">INDEX(Tide_table!$C$4:$C$15,K22+1)</f>
        <v>NW</v>
      </c>
      <c r="R22" s="17" t="n">
        <f aca="false">N22+(O22-N22)*(1-COS(PI()*(C22-L22)/(M22-L22)))/2</f>
        <v>2.96065315031548</v>
      </c>
      <c r="S22" s="16" t="n">
        <f aca="false">(C22-L22)*24</f>
        <v>1.56666666666667</v>
      </c>
      <c r="T22" s="16" t="n">
        <f aca="false">(M22-C22)*24</f>
        <v>5.25</v>
      </c>
      <c r="U22" s="14" t="str">
        <f aca="false">IF(MIN(S22,T22)&lt;=Tide_summary!$B$3,IF(IF(S22&lt;=T22,P22,Q22)="HW","High water","Low water"),IF(Q22="HW","Rising","Falling"))</f>
        <v>Falling</v>
      </c>
    </row>
    <row r="23" customFormat="false" ht="15" hidden="false" customHeight="false" outlineLevel="0" collapsed="false">
      <c r="A23" s="14" t="s">
        <v>3</v>
      </c>
      <c r="B23" s="14" t="s">
        <v>106</v>
      </c>
      <c r="C23" s="23" t="n">
        <f aca="false">DATE(VALUE(RIGHT(A23,4)),VALUE(MID(A23,4,2)),VALUE(LEFT(A23,2)))+TIMEVALUE(B23)</f>
        <v>46293.6527777778</v>
      </c>
      <c r="D23" s="14" t="n">
        <f aca="false">SUMIFS(Data!$D$2:$D$195,Data!$A$2:$A$195,$A23,Data!$B$2:$B$195,$B23)</f>
        <v>1</v>
      </c>
      <c r="E23" s="14" t="n">
        <f aca="false">SUMPRODUCT(--(COUNTIFS(Data!$A$2:$A$195,$A23,Data!$B$2:$B$195,$B23,Data!$C$2:$C$195,Abundance!$A$2:$A$20)&gt;0))</f>
        <v>1</v>
      </c>
      <c r="F23" s="14" t="n">
        <f aca="false">SUMIFS(Data!$D$2:$D$195,Data!$A$2:$A$195,$A23,Data!$B$2:$B$195,$B23,Data!$E$2:$E$195,"I")</f>
        <v>0</v>
      </c>
      <c r="G23" s="14" t="n">
        <f aca="false">SUMIFS(Data!$D$2:$D$195,Data!$A$2:$A$195,$A23,Data!$B$2:$B$195,$B23,Data!$E$2:$E$195,"F")</f>
        <v>0</v>
      </c>
      <c r="H23" s="14" t="n">
        <f aca="false">SUMIFS(Data!$D$2:$D$195,Data!$A$2:$A$195,$A23,Data!$B$2:$B$195,$B23,Data!$E$2:$E$195,"S")</f>
        <v>0</v>
      </c>
      <c r="I23" s="14" t="n">
        <f aca="false">SUMIFS(Data!$D$2:$D$195,Data!$A$2:$A$195,$A23,Data!$B$2:$B$195,$B23,Data!$E$2:$E$195,"W")</f>
        <v>1</v>
      </c>
      <c r="J23" s="15" t="n">
        <v>3</v>
      </c>
      <c r="K23" s="14" t="n">
        <f aca="false">MATCH(C23,Tide_table!$A$4:$A$15,1)</f>
        <v>3</v>
      </c>
      <c r="L23" s="23" t="n">
        <f aca="false">INDEX(Tide_table!$A$4:$A$15,K23)</f>
        <v>46293.5736111111</v>
      </c>
      <c r="M23" s="23" t="n">
        <f aca="false">INDEX(Tide_table!$A$4:$A$15,K23+1)</f>
        <v>46293.8576388889</v>
      </c>
      <c r="N23" s="17" t="n">
        <f aca="false">INDEX(Tide_table!$B$4:$B$15,K23)</f>
        <v>3.31</v>
      </c>
      <c r="O23" s="17" t="n">
        <f aca="false">INDEX(Tide_table!$B$4:$B$15,K23+1)</f>
        <v>0.51</v>
      </c>
      <c r="P23" s="14" t="str">
        <f aca="false">INDEX(Tide_table!$C$4:$C$15,K23)</f>
        <v>HW</v>
      </c>
      <c r="Q23" s="14" t="str">
        <f aca="false">INDEX(Tide_table!$C$4:$C$15,K23+1)</f>
        <v>NW</v>
      </c>
      <c r="R23" s="17" t="n">
        <f aca="false">N23+(O23-N23)*(1-COS(PI()*(C23-L23)/(M23-L23)))/2</f>
        <v>2.8066950743317</v>
      </c>
      <c r="S23" s="16" t="n">
        <f aca="false">(C23-L23)*24</f>
        <v>1.9</v>
      </c>
      <c r="T23" s="16" t="n">
        <f aca="false">(M23-C23)*24</f>
        <v>4.91666666666667</v>
      </c>
      <c r="U23" s="14" t="str">
        <f aca="false">IF(MIN(S23,T23)&lt;=Tide_summary!$B$3,IF(IF(S23&lt;=T23,P23,Q23)="HW","High water","Low water"),IF(Q23="HW","Rising","Falling"))</f>
        <v>Falling</v>
      </c>
    </row>
    <row r="24" customFormat="false" ht="15" hidden="false" customHeight="false" outlineLevel="0" collapsed="false">
      <c r="A24" s="14" t="s">
        <v>3</v>
      </c>
      <c r="B24" s="14" t="s">
        <v>118</v>
      </c>
      <c r="C24" s="23" t="n">
        <f aca="false">DATE(VALUE(RIGHT(A24,4)),VALUE(MID(A24,4,2)),VALUE(LEFT(A24,2)))+TIMEVALUE(B24)</f>
        <v>46293.6666666667</v>
      </c>
      <c r="D24" s="14" t="n">
        <f aca="false">SUMIFS(Data!$D$2:$D$195,Data!$A$2:$A$195,$A24,Data!$B$2:$B$195,$B24)</f>
        <v>0</v>
      </c>
      <c r="E24" s="14" t="n">
        <f aca="false">SUMPRODUCT(--(COUNTIFS(Data!$A$2:$A$195,$A24,Data!$B$2:$B$195,$B24,Data!$C$2:$C$195,Abundance!$A$2:$A$20)&gt;0))</f>
        <v>0</v>
      </c>
      <c r="F24" s="14" t="n">
        <f aca="false">SUMIFS(Data!$D$2:$D$195,Data!$A$2:$A$195,$A24,Data!$B$2:$B$195,$B24,Data!$E$2:$E$195,"I")</f>
        <v>0</v>
      </c>
      <c r="G24" s="14" t="n">
        <f aca="false">SUMIFS(Data!$D$2:$D$195,Data!$A$2:$A$195,$A24,Data!$B$2:$B$195,$B24,Data!$E$2:$E$195,"F")</f>
        <v>0</v>
      </c>
      <c r="H24" s="14" t="n">
        <f aca="false">SUMIFS(Data!$D$2:$D$195,Data!$A$2:$A$195,$A24,Data!$B$2:$B$195,$B24,Data!$E$2:$E$195,"S")</f>
        <v>0</v>
      </c>
      <c r="I24" s="14" t="n">
        <f aca="false">SUMIFS(Data!$D$2:$D$195,Data!$A$2:$A$195,$A24,Data!$B$2:$B$195,$B24,Data!$E$2:$E$195,"W")</f>
        <v>0</v>
      </c>
      <c r="J24" s="15" t="n">
        <v>3</v>
      </c>
      <c r="K24" s="14" t="n">
        <f aca="false">MATCH(C24,Tide_table!$A$4:$A$15,1)</f>
        <v>3</v>
      </c>
      <c r="L24" s="23" t="n">
        <f aca="false">INDEX(Tide_table!$A$4:$A$15,K24)</f>
        <v>46293.5736111111</v>
      </c>
      <c r="M24" s="23" t="n">
        <f aca="false">INDEX(Tide_table!$A$4:$A$15,K24+1)</f>
        <v>46293.8576388889</v>
      </c>
      <c r="N24" s="17" t="n">
        <f aca="false">INDEX(Tide_table!$B$4:$B$15,K24)</f>
        <v>3.31</v>
      </c>
      <c r="O24" s="17" t="n">
        <f aca="false">INDEX(Tide_table!$B$4:$B$15,K24+1)</f>
        <v>0.51</v>
      </c>
      <c r="P24" s="14" t="str">
        <f aca="false">INDEX(Tide_table!$C$4:$C$15,K24)</f>
        <v>HW</v>
      </c>
      <c r="Q24" s="14" t="str">
        <f aca="false">INDEX(Tide_table!$C$4:$C$15,K24+1)</f>
        <v>NW</v>
      </c>
      <c r="R24" s="17" t="n">
        <f aca="false">N24+(O24-N24)*(1-COS(PI()*(C24-L24)/(M24-L24)))/2</f>
        <v>2.63161652622475</v>
      </c>
      <c r="S24" s="16" t="n">
        <f aca="false">(C24-L24)*24</f>
        <v>2.23333333333333</v>
      </c>
      <c r="T24" s="16" t="n">
        <f aca="false">(M24-C24)*24</f>
        <v>4.58333333333333</v>
      </c>
      <c r="U24" s="14" t="str">
        <f aca="false">IF(MIN(S24,T24)&lt;=Tide_summary!$B$3,IF(IF(S24&lt;=T24,P24,Q24)="HW","High water","Low water"),IF(Q24="HW","Rising","Falling"))</f>
        <v>Falling</v>
      </c>
    </row>
    <row r="25" customFormat="false" ht="15" hidden="false" customHeight="false" outlineLevel="0" collapsed="false">
      <c r="A25" s="14" t="s">
        <v>3</v>
      </c>
      <c r="B25" s="14" t="s">
        <v>107</v>
      </c>
      <c r="C25" s="23" t="n">
        <f aca="false">DATE(VALUE(RIGHT(A25,4)),VALUE(MID(A25,4,2)),VALUE(LEFT(A25,2)))+TIMEVALUE(B25)</f>
        <v>46293.6805555556</v>
      </c>
      <c r="D25" s="14" t="n">
        <f aca="false">SUMIFS(Data!$D$2:$D$195,Data!$A$2:$A$195,$A25,Data!$B$2:$B$195,$B25)</f>
        <v>18</v>
      </c>
      <c r="E25" s="14" t="n">
        <f aca="false">SUMPRODUCT(--(COUNTIFS(Data!$A$2:$A$195,$A25,Data!$B$2:$B$195,$B25,Data!$C$2:$C$195,Abundance!$A$2:$A$20)&gt;0))</f>
        <v>1</v>
      </c>
      <c r="F25" s="14" t="n">
        <f aca="false">SUMIFS(Data!$D$2:$D$195,Data!$A$2:$A$195,$A25,Data!$B$2:$B$195,$B25,Data!$E$2:$E$195,"I")</f>
        <v>18</v>
      </c>
      <c r="G25" s="14" t="n">
        <f aca="false">SUMIFS(Data!$D$2:$D$195,Data!$A$2:$A$195,$A25,Data!$B$2:$B$195,$B25,Data!$E$2:$E$195,"F")</f>
        <v>0</v>
      </c>
      <c r="H25" s="14" t="n">
        <f aca="false">SUMIFS(Data!$D$2:$D$195,Data!$A$2:$A$195,$A25,Data!$B$2:$B$195,$B25,Data!$E$2:$E$195,"S")</f>
        <v>0</v>
      </c>
      <c r="I25" s="14" t="n">
        <f aca="false">SUMIFS(Data!$D$2:$D$195,Data!$A$2:$A$195,$A25,Data!$B$2:$B$195,$B25,Data!$E$2:$E$195,"W")</f>
        <v>0</v>
      </c>
      <c r="J25" s="15" t="n">
        <v>1</v>
      </c>
      <c r="K25" s="14" t="n">
        <f aca="false">MATCH(C25,Tide_table!$A$4:$A$15,1)</f>
        <v>3</v>
      </c>
      <c r="L25" s="23" t="n">
        <f aca="false">INDEX(Tide_table!$A$4:$A$15,K25)</f>
        <v>46293.5736111111</v>
      </c>
      <c r="M25" s="23" t="n">
        <f aca="false">INDEX(Tide_table!$A$4:$A$15,K25+1)</f>
        <v>46293.8576388889</v>
      </c>
      <c r="N25" s="17" t="n">
        <f aca="false">INDEX(Tide_table!$B$4:$B$15,K25)</f>
        <v>3.31</v>
      </c>
      <c r="O25" s="17" t="n">
        <f aca="false">INDEX(Tide_table!$B$4:$B$15,K25+1)</f>
        <v>0.51</v>
      </c>
      <c r="P25" s="14" t="str">
        <f aca="false">INDEX(Tide_table!$C$4:$C$15,K25)</f>
        <v>HW</v>
      </c>
      <c r="Q25" s="14" t="str">
        <f aca="false">INDEX(Tide_table!$C$4:$C$15,K25+1)</f>
        <v>NW</v>
      </c>
      <c r="R25" s="17" t="n">
        <f aca="false">N25+(O25-N25)*(1-COS(PI()*(C25-L25)/(M25-L25)))/2</f>
        <v>2.43954125073296</v>
      </c>
      <c r="S25" s="16" t="n">
        <f aca="false">(C25-L25)*24</f>
        <v>2.56666666666667</v>
      </c>
      <c r="T25" s="16" t="n">
        <f aca="false">(M25-C25)*24</f>
        <v>4.25</v>
      </c>
      <c r="U25" s="14" t="str">
        <f aca="false">IF(MIN(S25,T25)&lt;=Tide_summary!$B$3,IF(IF(S25&lt;=T25,P25,Q25)="HW","High water","Low water"),IF(Q25="HW","Rising","Falling"))</f>
        <v>Falling</v>
      </c>
    </row>
    <row r="26" customFormat="false" ht="15" hidden="false" customHeight="false" outlineLevel="0" collapsed="false">
      <c r="A26" s="14" t="s">
        <v>3</v>
      </c>
      <c r="B26" s="14" t="s">
        <v>108</v>
      </c>
      <c r="C26" s="23" t="n">
        <f aca="false">DATE(VALUE(RIGHT(A26,4)),VALUE(MID(A26,4,2)),VALUE(LEFT(A26,2)))+TIMEVALUE(B26)</f>
        <v>46293.6944444444</v>
      </c>
      <c r="D26" s="14" t="n">
        <f aca="false">SUMIFS(Data!$D$2:$D$195,Data!$A$2:$A$195,$A26,Data!$B$2:$B$195,$B26)</f>
        <v>36</v>
      </c>
      <c r="E26" s="14" t="n">
        <f aca="false">SUMPRODUCT(--(COUNTIFS(Data!$A$2:$A$195,$A26,Data!$B$2:$B$195,$B26,Data!$C$2:$C$195,Abundance!$A$2:$A$20)&gt;0))</f>
        <v>3</v>
      </c>
      <c r="F26" s="14" t="n">
        <f aca="false">SUMIFS(Data!$D$2:$D$195,Data!$A$2:$A$195,$A26,Data!$B$2:$B$195,$B26,Data!$E$2:$E$195,"I")</f>
        <v>36</v>
      </c>
      <c r="G26" s="14" t="n">
        <f aca="false">SUMIFS(Data!$D$2:$D$195,Data!$A$2:$A$195,$A26,Data!$B$2:$B$195,$B26,Data!$E$2:$E$195,"F")</f>
        <v>0</v>
      </c>
      <c r="H26" s="14" t="n">
        <f aca="false">SUMIFS(Data!$D$2:$D$195,Data!$A$2:$A$195,$A26,Data!$B$2:$B$195,$B26,Data!$E$2:$E$195,"S")</f>
        <v>0</v>
      </c>
      <c r="I26" s="14" t="n">
        <f aca="false">SUMIFS(Data!$D$2:$D$195,Data!$A$2:$A$195,$A26,Data!$B$2:$B$195,$B26,Data!$E$2:$E$195,"W")</f>
        <v>0</v>
      </c>
      <c r="J26" s="15" t="n">
        <v>2</v>
      </c>
      <c r="K26" s="14" t="n">
        <f aca="false">MATCH(C26,Tide_table!$A$4:$A$15,1)</f>
        <v>3</v>
      </c>
      <c r="L26" s="23" t="n">
        <f aca="false">INDEX(Tide_table!$A$4:$A$15,K26)</f>
        <v>46293.5736111111</v>
      </c>
      <c r="M26" s="23" t="n">
        <f aca="false">INDEX(Tide_table!$A$4:$A$15,K26+1)</f>
        <v>46293.8576388889</v>
      </c>
      <c r="N26" s="17" t="n">
        <f aca="false">INDEX(Tide_table!$B$4:$B$15,K26)</f>
        <v>3.31</v>
      </c>
      <c r="O26" s="17" t="n">
        <f aca="false">INDEX(Tide_table!$B$4:$B$15,K26+1)</f>
        <v>0.51</v>
      </c>
      <c r="P26" s="14" t="str">
        <f aca="false">INDEX(Tide_table!$C$4:$C$15,K26)</f>
        <v>HW</v>
      </c>
      <c r="Q26" s="14" t="str">
        <f aca="false">INDEX(Tide_table!$C$4:$C$15,K26+1)</f>
        <v>NW</v>
      </c>
      <c r="R26" s="17" t="n">
        <f aca="false">N26+(O26-N26)*(1-COS(PI()*(C26-L26)/(M26-L26)))/2</f>
        <v>2.23499332813478</v>
      </c>
      <c r="S26" s="16" t="n">
        <f aca="false">(C26-L26)*24</f>
        <v>2.9</v>
      </c>
      <c r="T26" s="16" t="n">
        <f aca="false">(M26-C26)*24</f>
        <v>3.91666666666667</v>
      </c>
      <c r="U26" s="14" t="str">
        <f aca="false">IF(MIN(S26,T26)&lt;=Tide_summary!$B$3,IF(IF(S26&lt;=T26,P26,Q26)="HW","High water","Low water"),IF(Q26="HW","Rising","Falling"))</f>
        <v>Falling</v>
      </c>
    </row>
    <row r="27" customFormat="false" ht="15" hidden="false" customHeight="false" outlineLevel="0" collapsed="false">
      <c r="A27" s="14" t="s">
        <v>4</v>
      </c>
      <c r="B27" s="14" t="s">
        <v>81</v>
      </c>
      <c r="C27" s="23" t="n">
        <f aca="false">DATE(VALUE(RIGHT(A27,4)),VALUE(MID(A27,4,2)),VALUE(LEFT(A27,2)))+TIMEVALUE(B27)</f>
        <v>46294.3611111111</v>
      </c>
      <c r="D27" s="14" t="n">
        <f aca="false">SUMIFS(Data!$D$2:$D$195,Data!$A$2:$A$195,$A27,Data!$B$2:$B$195,$B27)</f>
        <v>0</v>
      </c>
      <c r="E27" s="14" t="n">
        <f aca="false">SUMPRODUCT(--(COUNTIFS(Data!$A$2:$A$195,$A27,Data!$B$2:$B$195,$B27,Data!$C$2:$C$195,Abundance!$A$2:$A$20)&gt;0))</f>
        <v>0</v>
      </c>
      <c r="F27" s="14" t="n">
        <f aca="false">SUMIFS(Data!$D$2:$D$195,Data!$A$2:$A$195,$A27,Data!$B$2:$B$195,$B27,Data!$E$2:$E$195,"I")</f>
        <v>0</v>
      </c>
      <c r="G27" s="14" t="n">
        <f aca="false">SUMIFS(Data!$D$2:$D$195,Data!$A$2:$A$195,$A27,Data!$B$2:$B$195,$B27,Data!$E$2:$E$195,"F")</f>
        <v>0</v>
      </c>
      <c r="H27" s="14" t="n">
        <f aca="false">SUMIFS(Data!$D$2:$D$195,Data!$A$2:$A$195,$A27,Data!$B$2:$B$195,$B27,Data!$E$2:$E$195,"S")</f>
        <v>0</v>
      </c>
      <c r="I27" s="14" t="n">
        <f aca="false">SUMIFS(Data!$D$2:$D$195,Data!$A$2:$A$195,$A27,Data!$B$2:$B$195,$B27,Data!$E$2:$E$195,"W")</f>
        <v>0</v>
      </c>
      <c r="J27" s="15" t="n">
        <v>1</v>
      </c>
      <c r="K27" s="14" t="n">
        <f aca="false">MATCH(C27,Tide_table!$A$4:$A$15,1)</f>
        <v>5</v>
      </c>
      <c r="L27" s="23" t="n">
        <f aca="false">INDEX(Tide_table!$A$4:$A$15,K27)</f>
        <v>46294.0875</v>
      </c>
      <c r="M27" s="23" t="n">
        <f aca="false">INDEX(Tide_table!$A$4:$A$15,K27+1)</f>
        <v>46294.3680555556</v>
      </c>
      <c r="N27" s="17" t="n">
        <f aca="false">INDEX(Tide_table!$B$4:$B$15,K27)</f>
        <v>3.1</v>
      </c>
      <c r="O27" s="17" t="n">
        <f aca="false">INDEX(Tide_table!$B$4:$B$15,K27+1)</f>
        <v>0.46</v>
      </c>
      <c r="P27" s="14" t="str">
        <f aca="false">INDEX(Tide_table!$C$4:$C$15,K27)</f>
        <v>HW</v>
      </c>
      <c r="Q27" s="14" t="str">
        <f aca="false">INDEX(Tide_table!$C$4:$C$15,K27+1)</f>
        <v>NW</v>
      </c>
      <c r="R27" s="17" t="n">
        <f aca="false">N27+(O27-N27)*(1-COS(PI()*(C27-L27)/(M27-L27)))/2</f>
        <v>0.463988982150169</v>
      </c>
      <c r="S27" s="16" t="n">
        <f aca="false">(C27-L27)*24</f>
        <v>6.56666666666667</v>
      </c>
      <c r="T27" s="16" t="n">
        <f aca="false">(M27-C27)*24</f>
        <v>0.166666666666667</v>
      </c>
      <c r="U27" s="14" t="str">
        <f aca="false">IF(MIN(S27,T27)&lt;=Tide_summary!$B$3,IF(IF(S27&lt;=T27,P27,Q27)="HW","High water","Low water"),IF(Q27="HW","Rising","Falling"))</f>
        <v>Low water</v>
      </c>
    </row>
    <row r="28" customFormat="false" ht="15" hidden="false" customHeight="false" outlineLevel="0" collapsed="false">
      <c r="A28" s="14" t="s">
        <v>4</v>
      </c>
      <c r="B28" s="14" t="s">
        <v>84</v>
      </c>
      <c r="C28" s="23" t="n">
        <f aca="false">DATE(VALUE(RIGHT(A28,4)),VALUE(MID(A28,4,2)),VALUE(LEFT(A28,2)))+TIMEVALUE(B28)</f>
        <v>46294.375</v>
      </c>
      <c r="D28" s="14" t="n">
        <f aca="false">SUMIFS(Data!$D$2:$D$195,Data!$A$2:$A$195,$A28,Data!$B$2:$B$195,$B28)</f>
        <v>25</v>
      </c>
      <c r="E28" s="14" t="n">
        <f aca="false">SUMPRODUCT(--(COUNTIFS(Data!$A$2:$A$195,$A28,Data!$B$2:$B$195,$B28,Data!$C$2:$C$195,Abundance!$A$2:$A$20)&gt;0))</f>
        <v>4</v>
      </c>
      <c r="F28" s="14" t="n">
        <f aca="false">SUMIFS(Data!$D$2:$D$195,Data!$A$2:$A$195,$A28,Data!$B$2:$B$195,$B28,Data!$E$2:$E$195,"I")</f>
        <v>22</v>
      </c>
      <c r="G28" s="14" t="n">
        <f aca="false">SUMIFS(Data!$D$2:$D$195,Data!$A$2:$A$195,$A28,Data!$B$2:$B$195,$B28,Data!$E$2:$E$195,"F")</f>
        <v>1</v>
      </c>
      <c r="H28" s="14" t="n">
        <f aca="false">SUMIFS(Data!$D$2:$D$195,Data!$A$2:$A$195,$A28,Data!$B$2:$B$195,$B28,Data!$E$2:$E$195,"S")</f>
        <v>2</v>
      </c>
      <c r="I28" s="14" t="n">
        <f aca="false">SUMIFS(Data!$D$2:$D$195,Data!$A$2:$A$195,$A28,Data!$B$2:$B$195,$B28,Data!$E$2:$E$195,"W")</f>
        <v>0</v>
      </c>
      <c r="J28" s="15" t="n">
        <v>0</v>
      </c>
      <c r="K28" s="14" t="n">
        <f aca="false">MATCH(C28,Tide_table!$A$4:$A$15,1)</f>
        <v>6</v>
      </c>
      <c r="L28" s="23" t="n">
        <f aca="false">INDEX(Tide_table!$A$4:$A$15,K28)</f>
        <v>46294.3680555556</v>
      </c>
      <c r="M28" s="23" t="n">
        <f aca="false">INDEX(Tide_table!$A$4:$A$15,K28+1)</f>
        <v>46294.5986111111</v>
      </c>
      <c r="N28" s="17" t="n">
        <f aca="false">INDEX(Tide_table!$B$4:$B$15,K28)</f>
        <v>0.46</v>
      </c>
      <c r="O28" s="17" t="n">
        <f aca="false">INDEX(Tide_table!$B$4:$B$15,K28+1)</f>
        <v>3.29</v>
      </c>
      <c r="P28" s="14" t="str">
        <f aca="false">INDEX(Tide_table!$C$4:$C$15,K28)</f>
        <v>NW</v>
      </c>
      <c r="Q28" s="14" t="str">
        <f aca="false">INDEX(Tide_table!$C$4:$C$15,K28+1)</f>
        <v>HW</v>
      </c>
      <c r="R28" s="17" t="n">
        <f aca="false">N28+(O28-N28)*(1-COS(PI()*(C28-L28)/(M28-L28)))/2</f>
        <v>0.466330323975889</v>
      </c>
      <c r="S28" s="16" t="n">
        <f aca="false">(C28-L28)*24</f>
        <v>0.166666666666667</v>
      </c>
      <c r="T28" s="16" t="n">
        <f aca="false">(M28-C28)*24</f>
        <v>5.36666666666667</v>
      </c>
      <c r="U28" s="14" t="str">
        <f aca="false">IF(MIN(S28,T28)&lt;=Tide_summary!$B$3,IF(IF(S28&lt;=T28,P28,Q28)="HW","High water","Low water"),IF(Q28="HW","Rising","Falling"))</f>
        <v>Low water</v>
      </c>
    </row>
    <row r="29" customFormat="false" ht="15" hidden="false" customHeight="false" outlineLevel="0" collapsed="false">
      <c r="A29" s="14" t="s">
        <v>4</v>
      </c>
      <c r="B29" s="14" t="s">
        <v>86</v>
      </c>
      <c r="C29" s="23" t="n">
        <f aca="false">DATE(VALUE(RIGHT(A29,4)),VALUE(MID(A29,4,2)),VALUE(LEFT(A29,2)))+TIMEVALUE(B29)</f>
        <v>46294.3888888889</v>
      </c>
      <c r="D29" s="14" t="n">
        <f aca="false">SUMIFS(Data!$D$2:$D$195,Data!$A$2:$A$195,$A29,Data!$B$2:$B$195,$B29)</f>
        <v>39</v>
      </c>
      <c r="E29" s="14" t="n">
        <f aca="false">SUMPRODUCT(--(COUNTIFS(Data!$A$2:$A$195,$A29,Data!$B$2:$B$195,$B29,Data!$C$2:$C$195,Abundance!$A$2:$A$20)&gt;0))</f>
        <v>6</v>
      </c>
      <c r="F29" s="14" t="n">
        <f aca="false">SUMIFS(Data!$D$2:$D$195,Data!$A$2:$A$195,$A29,Data!$B$2:$B$195,$B29,Data!$E$2:$E$195,"I")</f>
        <v>36</v>
      </c>
      <c r="G29" s="14" t="n">
        <f aca="false">SUMIFS(Data!$D$2:$D$195,Data!$A$2:$A$195,$A29,Data!$B$2:$B$195,$B29,Data!$E$2:$E$195,"F")</f>
        <v>0</v>
      </c>
      <c r="H29" s="14" t="n">
        <f aca="false">SUMIFS(Data!$D$2:$D$195,Data!$A$2:$A$195,$A29,Data!$B$2:$B$195,$B29,Data!$E$2:$E$195,"S")</f>
        <v>3</v>
      </c>
      <c r="I29" s="14" t="n">
        <f aca="false">SUMIFS(Data!$D$2:$D$195,Data!$A$2:$A$195,$A29,Data!$B$2:$B$195,$B29,Data!$E$2:$E$195,"W")</f>
        <v>0</v>
      </c>
      <c r="J29" s="15" t="n">
        <v>0</v>
      </c>
      <c r="K29" s="14" t="n">
        <f aca="false">MATCH(C29,Tide_table!$A$4:$A$15,1)</f>
        <v>6</v>
      </c>
      <c r="L29" s="23" t="n">
        <f aca="false">INDEX(Tide_table!$A$4:$A$15,K29)</f>
        <v>46294.3680555556</v>
      </c>
      <c r="M29" s="23" t="n">
        <f aca="false">INDEX(Tide_table!$A$4:$A$15,K29+1)</f>
        <v>46294.5986111111</v>
      </c>
      <c r="N29" s="17" t="n">
        <f aca="false">INDEX(Tide_table!$B$4:$B$15,K29)</f>
        <v>0.46</v>
      </c>
      <c r="O29" s="17" t="n">
        <f aca="false">INDEX(Tide_table!$B$4:$B$15,K29+1)</f>
        <v>3.29</v>
      </c>
      <c r="P29" s="14" t="str">
        <f aca="false">INDEX(Tide_table!$C$4:$C$15,K29)</f>
        <v>NW</v>
      </c>
      <c r="Q29" s="14" t="str">
        <f aca="false">INDEX(Tide_table!$C$4:$C$15,K29+1)</f>
        <v>HW</v>
      </c>
      <c r="R29" s="17" t="n">
        <f aca="false">N29+(O29-N29)*(1-COS(PI()*(C29-L29)/(M29-L29)))/2</f>
        <v>0.516633580859349</v>
      </c>
      <c r="S29" s="16" t="n">
        <f aca="false">(C29-L29)*24</f>
        <v>0.5</v>
      </c>
      <c r="T29" s="16" t="n">
        <f aca="false">(M29-C29)*24</f>
        <v>5.03333333333333</v>
      </c>
      <c r="U29" s="14" t="str">
        <f aca="false">IF(MIN(S29,T29)&lt;=Tide_summary!$B$3,IF(IF(S29&lt;=T29,P29,Q29)="HW","High water","Low water"),IF(Q29="HW","Rising","Falling"))</f>
        <v>Low water</v>
      </c>
    </row>
    <row r="30" customFormat="false" ht="15" hidden="false" customHeight="false" outlineLevel="0" collapsed="false">
      <c r="A30" s="14" t="s">
        <v>4</v>
      </c>
      <c r="B30" s="14" t="s">
        <v>87</v>
      </c>
      <c r="C30" s="23" t="n">
        <f aca="false">DATE(VALUE(RIGHT(A30,4)),VALUE(MID(A30,4,2)),VALUE(LEFT(A30,2)))+TIMEVALUE(B30)</f>
        <v>46294.4027777778</v>
      </c>
      <c r="D30" s="14" t="n">
        <f aca="false">SUMIFS(Data!$D$2:$D$195,Data!$A$2:$A$195,$A30,Data!$B$2:$B$195,$B30)</f>
        <v>49</v>
      </c>
      <c r="E30" s="14" t="n">
        <f aca="false">SUMPRODUCT(--(COUNTIFS(Data!$A$2:$A$195,$A30,Data!$B$2:$B$195,$B30,Data!$C$2:$C$195,Abundance!$A$2:$A$20)&gt;0))</f>
        <v>7</v>
      </c>
      <c r="F30" s="14" t="n">
        <f aca="false">SUMIFS(Data!$D$2:$D$195,Data!$A$2:$A$195,$A30,Data!$B$2:$B$195,$B30,Data!$E$2:$E$195,"I")</f>
        <v>48</v>
      </c>
      <c r="G30" s="14" t="n">
        <f aca="false">SUMIFS(Data!$D$2:$D$195,Data!$A$2:$A$195,$A30,Data!$B$2:$B$195,$B30,Data!$E$2:$E$195,"F")</f>
        <v>0</v>
      </c>
      <c r="H30" s="14" t="n">
        <f aca="false">SUMIFS(Data!$D$2:$D$195,Data!$A$2:$A$195,$A30,Data!$B$2:$B$195,$B30,Data!$E$2:$E$195,"S")</f>
        <v>1</v>
      </c>
      <c r="I30" s="14" t="n">
        <f aca="false">SUMIFS(Data!$D$2:$D$195,Data!$A$2:$A$195,$A30,Data!$B$2:$B$195,$B30,Data!$E$2:$E$195,"W")</f>
        <v>0</v>
      </c>
      <c r="J30" s="15" t="n">
        <v>0.142857142857143</v>
      </c>
      <c r="K30" s="14" t="n">
        <f aca="false">MATCH(C30,Tide_table!$A$4:$A$15,1)</f>
        <v>6</v>
      </c>
      <c r="L30" s="23" t="n">
        <f aca="false">INDEX(Tide_table!$A$4:$A$15,K30)</f>
        <v>46294.3680555556</v>
      </c>
      <c r="M30" s="23" t="n">
        <f aca="false">INDEX(Tide_table!$A$4:$A$15,K30+1)</f>
        <v>46294.5986111111</v>
      </c>
      <c r="N30" s="17" t="n">
        <f aca="false">INDEX(Tide_table!$B$4:$B$15,K30)</f>
        <v>0.46</v>
      </c>
      <c r="O30" s="17" t="n">
        <f aca="false">INDEX(Tide_table!$B$4:$B$15,K30+1)</f>
        <v>3.29</v>
      </c>
      <c r="P30" s="14" t="str">
        <f aca="false">INDEX(Tide_table!$C$4:$C$15,K30)</f>
        <v>NW</v>
      </c>
      <c r="Q30" s="14" t="str">
        <f aca="false">INDEX(Tide_table!$C$4:$C$15,K30+1)</f>
        <v>HW</v>
      </c>
      <c r="R30" s="17" t="n">
        <f aca="false">N30+(O30-N30)*(1-COS(PI()*(C30-L30)/(M30-L30)))/2</f>
        <v>0.615443777365984</v>
      </c>
      <c r="S30" s="16" t="n">
        <f aca="false">(C30-L30)*24</f>
        <v>0.833333333333333</v>
      </c>
      <c r="T30" s="16" t="n">
        <f aca="false">(M30-C30)*24</f>
        <v>4.7</v>
      </c>
      <c r="U30" s="14" t="str">
        <f aca="false">IF(MIN(S30,T30)&lt;=Tide_summary!$B$3,IF(IF(S30&lt;=T30,P30,Q30)="HW","High water","Low water"),IF(Q30="HW","Rising","Falling"))</f>
        <v>Low water</v>
      </c>
    </row>
    <row r="31" customFormat="false" ht="15" hidden="false" customHeight="false" outlineLevel="0" collapsed="false">
      <c r="A31" s="14" t="s">
        <v>4</v>
      </c>
      <c r="B31" s="14" t="s">
        <v>88</v>
      </c>
      <c r="C31" s="23" t="n">
        <f aca="false">DATE(VALUE(RIGHT(A31,4)),VALUE(MID(A31,4,2)),VALUE(LEFT(A31,2)))+TIMEVALUE(B31)</f>
        <v>46294.4166666667</v>
      </c>
      <c r="D31" s="14" t="n">
        <f aca="false">SUMIFS(Data!$D$2:$D$195,Data!$A$2:$A$195,$A31,Data!$B$2:$B$195,$B31)</f>
        <v>44</v>
      </c>
      <c r="E31" s="14" t="n">
        <f aca="false">SUMPRODUCT(--(COUNTIFS(Data!$A$2:$A$195,$A31,Data!$B$2:$B$195,$B31,Data!$C$2:$C$195,Abundance!$A$2:$A$20)&gt;0))</f>
        <v>5</v>
      </c>
      <c r="F31" s="14" t="n">
        <f aca="false">SUMIFS(Data!$D$2:$D$195,Data!$A$2:$A$195,$A31,Data!$B$2:$B$195,$B31,Data!$E$2:$E$195,"I")</f>
        <v>43</v>
      </c>
      <c r="G31" s="14" t="n">
        <f aca="false">SUMIFS(Data!$D$2:$D$195,Data!$A$2:$A$195,$A31,Data!$B$2:$B$195,$B31,Data!$E$2:$E$195,"F")</f>
        <v>0</v>
      </c>
      <c r="H31" s="14" t="n">
        <f aca="false">SUMIFS(Data!$D$2:$D$195,Data!$A$2:$A$195,$A31,Data!$B$2:$B$195,$B31,Data!$E$2:$E$195,"S")</f>
        <v>1</v>
      </c>
      <c r="I31" s="14" t="n">
        <f aca="false">SUMIFS(Data!$D$2:$D$195,Data!$A$2:$A$195,$A31,Data!$B$2:$B$195,$B31,Data!$E$2:$E$195,"W")</f>
        <v>0</v>
      </c>
      <c r="J31" s="15" t="n">
        <v>2</v>
      </c>
      <c r="K31" s="14" t="n">
        <f aca="false">MATCH(C31,Tide_table!$A$4:$A$15,1)</f>
        <v>6</v>
      </c>
      <c r="L31" s="23" t="n">
        <f aca="false">INDEX(Tide_table!$A$4:$A$15,K31)</f>
        <v>46294.3680555556</v>
      </c>
      <c r="M31" s="23" t="n">
        <f aca="false">INDEX(Tide_table!$A$4:$A$15,K31+1)</f>
        <v>46294.5986111111</v>
      </c>
      <c r="N31" s="17" t="n">
        <f aca="false">INDEX(Tide_table!$B$4:$B$15,K31)</f>
        <v>0.46</v>
      </c>
      <c r="O31" s="17" t="n">
        <f aca="false">INDEX(Tide_table!$B$4:$B$15,K31+1)</f>
        <v>3.29</v>
      </c>
      <c r="P31" s="14" t="str">
        <f aca="false">INDEX(Tide_table!$C$4:$C$15,K31)</f>
        <v>NW</v>
      </c>
      <c r="Q31" s="14" t="str">
        <f aca="false">INDEX(Tide_table!$C$4:$C$15,K31+1)</f>
        <v>HW</v>
      </c>
      <c r="R31" s="17" t="n">
        <f aca="false">N31+(O31-N31)*(1-COS(PI()*(C31-L31)/(M31-L31)))/2</f>
        <v>0.759232425034532</v>
      </c>
      <c r="S31" s="16" t="n">
        <f aca="false">(C31-L31)*24</f>
        <v>1.16666666666667</v>
      </c>
      <c r="T31" s="16" t="n">
        <f aca="false">(M31-C31)*24</f>
        <v>4.36666666666667</v>
      </c>
      <c r="U31" s="14" t="str">
        <f aca="false">IF(MIN(S31,T31)&lt;=Tide_summary!$B$3,IF(IF(S31&lt;=T31,P31,Q31)="HW","High water","Low water"),IF(Q31="HW","Rising","Falling"))</f>
        <v>Low water</v>
      </c>
    </row>
    <row r="32" customFormat="false" ht="15" hidden="false" customHeight="false" outlineLevel="0" collapsed="false">
      <c r="A32" s="14" t="s">
        <v>4</v>
      </c>
      <c r="B32" s="14" t="s">
        <v>91</v>
      </c>
      <c r="C32" s="23" t="n">
        <f aca="false">DATE(VALUE(RIGHT(A32,4)),VALUE(MID(A32,4,2)),VALUE(LEFT(A32,2)))+TIMEVALUE(B32)</f>
        <v>46294.4305555556</v>
      </c>
      <c r="D32" s="14" t="n">
        <f aca="false">SUMIFS(Data!$D$2:$D$195,Data!$A$2:$A$195,$A32,Data!$B$2:$B$195,$B32)</f>
        <v>6</v>
      </c>
      <c r="E32" s="14" t="n">
        <f aca="false">SUMPRODUCT(--(COUNTIFS(Data!$A$2:$A$195,$A32,Data!$B$2:$B$195,$B32,Data!$C$2:$C$195,Abundance!$A$2:$A$20)&gt;0))</f>
        <v>4</v>
      </c>
      <c r="F32" s="14" t="n">
        <f aca="false">SUMIFS(Data!$D$2:$D$195,Data!$A$2:$A$195,$A32,Data!$B$2:$B$195,$B32,Data!$E$2:$E$195,"I")</f>
        <v>4</v>
      </c>
      <c r="G32" s="14" t="n">
        <f aca="false">SUMIFS(Data!$D$2:$D$195,Data!$A$2:$A$195,$A32,Data!$B$2:$B$195,$B32,Data!$E$2:$E$195,"F")</f>
        <v>0</v>
      </c>
      <c r="H32" s="14" t="n">
        <f aca="false">SUMIFS(Data!$D$2:$D$195,Data!$A$2:$A$195,$A32,Data!$B$2:$B$195,$B32,Data!$E$2:$E$195,"S")</f>
        <v>2</v>
      </c>
      <c r="I32" s="14" t="n">
        <f aca="false">SUMIFS(Data!$D$2:$D$195,Data!$A$2:$A$195,$A32,Data!$B$2:$B$195,$B32,Data!$E$2:$E$195,"W")</f>
        <v>0</v>
      </c>
      <c r="J32" s="15" t="n">
        <v>3.5</v>
      </c>
      <c r="K32" s="14" t="n">
        <f aca="false">MATCH(C32,Tide_table!$A$4:$A$15,1)</f>
        <v>6</v>
      </c>
      <c r="L32" s="23" t="n">
        <f aca="false">INDEX(Tide_table!$A$4:$A$15,K32)</f>
        <v>46294.3680555556</v>
      </c>
      <c r="M32" s="23" t="n">
        <f aca="false">INDEX(Tide_table!$A$4:$A$15,K32+1)</f>
        <v>46294.5986111111</v>
      </c>
      <c r="N32" s="17" t="n">
        <f aca="false">INDEX(Tide_table!$B$4:$B$15,K32)</f>
        <v>0.46</v>
      </c>
      <c r="O32" s="17" t="n">
        <f aca="false">INDEX(Tide_table!$B$4:$B$15,K32+1)</f>
        <v>3.29</v>
      </c>
      <c r="P32" s="14" t="str">
        <f aca="false">INDEX(Tide_table!$C$4:$C$15,K32)</f>
        <v>NW</v>
      </c>
      <c r="Q32" s="14" t="str">
        <f aca="false">INDEX(Tide_table!$C$4:$C$15,K32+1)</f>
        <v>HW</v>
      </c>
      <c r="R32" s="17" t="n">
        <f aca="false">N32+(O32-N32)*(1-COS(PI()*(C32-L32)/(M32-L32)))/2</f>
        <v>0.942864865680962</v>
      </c>
      <c r="S32" s="16" t="n">
        <f aca="false">(C32-L32)*24</f>
        <v>1.5</v>
      </c>
      <c r="T32" s="16" t="n">
        <f aca="false">(M32-C32)*24</f>
        <v>4.03333333333333</v>
      </c>
      <c r="U32" s="14" t="str">
        <f aca="false">IF(MIN(S32,T32)&lt;=Tide_summary!$B$3,IF(IF(S32&lt;=T32,P32,Q32)="HW","High water","Low water"),IF(Q32="HW","Rising","Falling"))</f>
        <v>Low water</v>
      </c>
    </row>
    <row r="33" customFormat="false" ht="15" hidden="false" customHeight="false" outlineLevel="0" collapsed="false">
      <c r="A33" s="14" t="s">
        <v>4</v>
      </c>
      <c r="B33" s="14" t="s">
        <v>92</v>
      </c>
      <c r="C33" s="23" t="n">
        <f aca="false">DATE(VALUE(RIGHT(A33,4)),VALUE(MID(A33,4,2)),VALUE(LEFT(A33,2)))+TIMEVALUE(B33)</f>
        <v>46294.4444444444</v>
      </c>
      <c r="D33" s="14" t="n">
        <f aca="false">SUMIFS(Data!$D$2:$D$195,Data!$A$2:$A$195,$A33,Data!$B$2:$B$195,$B33)</f>
        <v>21</v>
      </c>
      <c r="E33" s="14" t="n">
        <f aca="false">SUMPRODUCT(--(COUNTIFS(Data!$A$2:$A$195,$A33,Data!$B$2:$B$195,$B33,Data!$C$2:$C$195,Abundance!$A$2:$A$20)&gt;0))</f>
        <v>4</v>
      </c>
      <c r="F33" s="14" t="n">
        <f aca="false">SUMIFS(Data!$D$2:$D$195,Data!$A$2:$A$195,$A33,Data!$B$2:$B$195,$B33,Data!$E$2:$E$195,"I")</f>
        <v>19</v>
      </c>
      <c r="G33" s="14" t="n">
        <f aca="false">SUMIFS(Data!$D$2:$D$195,Data!$A$2:$A$195,$A33,Data!$B$2:$B$195,$B33,Data!$E$2:$E$195,"F")</f>
        <v>0</v>
      </c>
      <c r="H33" s="14" t="n">
        <f aca="false">SUMIFS(Data!$D$2:$D$195,Data!$A$2:$A$195,$A33,Data!$B$2:$B$195,$B33,Data!$E$2:$E$195,"S")</f>
        <v>2</v>
      </c>
      <c r="I33" s="14" t="n">
        <f aca="false">SUMIFS(Data!$D$2:$D$195,Data!$A$2:$A$195,$A33,Data!$B$2:$B$195,$B33,Data!$E$2:$E$195,"W")</f>
        <v>0</v>
      </c>
      <c r="J33" s="15" t="n">
        <v>2.75</v>
      </c>
      <c r="K33" s="14" t="n">
        <f aca="false">MATCH(C33,Tide_table!$A$4:$A$15,1)</f>
        <v>6</v>
      </c>
      <c r="L33" s="23" t="n">
        <f aca="false">INDEX(Tide_table!$A$4:$A$15,K33)</f>
        <v>46294.3680555556</v>
      </c>
      <c r="M33" s="23" t="n">
        <f aca="false">INDEX(Tide_table!$A$4:$A$15,K33+1)</f>
        <v>46294.5986111111</v>
      </c>
      <c r="N33" s="17" t="n">
        <f aca="false">INDEX(Tide_table!$B$4:$B$15,K33)</f>
        <v>0.46</v>
      </c>
      <c r="O33" s="17" t="n">
        <f aca="false">INDEX(Tide_table!$B$4:$B$15,K33+1)</f>
        <v>3.29</v>
      </c>
      <c r="P33" s="14" t="str">
        <f aca="false">INDEX(Tide_table!$C$4:$C$15,K33)</f>
        <v>NW</v>
      </c>
      <c r="Q33" s="14" t="str">
        <f aca="false">INDEX(Tide_table!$C$4:$C$15,K33+1)</f>
        <v>HW</v>
      </c>
      <c r="R33" s="17" t="n">
        <f aca="false">N33+(O33-N33)*(1-COS(PI()*(C33-L33)/(M33-L33)))/2</f>
        <v>1.15978362881294</v>
      </c>
      <c r="S33" s="16" t="n">
        <f aca="false">(C33-L33)*24</f>
        <v>1.83333333333333</v>
      </c>
      <c r="T33" s="16" t="n">
        <f aca="false">(M33-C33)*24</f>
        <v>3.7</v>
      </c>
      <c r="U33" s="14" t="str">
        <f aca="false">IF(MIN(S33,T33)&lt;=Tide_summary!$B$3,IF(IF(S33&lt;=T33,P33,Q33)="HW","High water","Low water"),IF(Q33="HW","Rising","Falling"))</f>
        <v>Rising</v>
      </c>
    </row>
    <row r="34" customFormat="false" ht="15" hidden="false" customHeight="false" outlineLevel="0" collapsed="false">
      <c r="A34" s="14" t="s">
        <v>4</v>
      </c>
      <c r="B34" s="14" t="s">
        <v>94</v>
      </c>
      <c r="C34" s="23" t="n">
        <f aca="false">DATE(VALUE(RIGHT(A34,4)),VALUE(MID(A34,4,2)),VALUE(LEFT(A34,2)))+TIMEVALUE(B34)</f>
        <v>46294.4583333333</v>
      </c>
      <c r="D34" s="14" t="n">
        <f aca="false">SUMIFS(Data!$D$2:$D$195,Data!$A$2:$A$195,$A34,Data!$B$2:$B$195,$B34)</f>
        <v>40</v>
      </c>
      <c r="E34" s="14" t="n">
        <f aca="false">SUMPRODUCT(--(COUNTIFS(Data!$A$2:$A$195,$A34,Data!$B$2:$B$195,$B34,Data!$C$2:$C$195,Abundance!$A$2:$A$20)&gt;0))</f>
        <v>6</v>
      </c>
      <c r="F34" s="14" t="n">
        <f aca="false">SUMIFS(Data!$D$2:$D$195,Data!$A$2:$A$195,$A34,Data!$B$2:$B$195,$B34,Data!$E$2:$E$195,"I")</f>
        <v>37</v>
      </c>
      <c r="G34" s="14" t="n">
        <f aca="false">SUMIFS(Data!$D$2:$D$195,Data!$A$2:$A$195,$A34,Data!$B$2:$B$195,$B34,Data!$E$2:$E$195,"F")</f>
        <v>1</v>
      </c>
      <c r="H34" s="14" t="n">
        <f aca="false">SUMIFS(Data!$D$2:$D$195,Data!$A$2:$A$195,$A34,Data!$B$2:$B$195,$B34,Data!$E$2:$E$195,"S")</f>
        <v>2</v>
      </c>
      <c r="I34" s="14" t="n">
        <f aca="false">SUMIFS(Data!$D$2:$D$195,Data!$A$2:$A$195,$A34,Data!$B$2:$B$195,$B34,Data!$E$2:$E$195,"W")</f>
        <v>0</v>
      </c>
      <c r="J34" s="15" t="n">
        <v>1.66666666666667</v>
      </c>
      <c r="K34" s="14" t="n">
        <f aca="false">MATCH(C34,Tide_table!$A$4:$A$15,1)</f>
        <v>6</v>
      </c>
      <c r="L34" s="23" t="n">
        <f aca="false">INDEX(Tide_table!$A$4:$A$15,K34)</f>
        <v>46294.3680555556</v>
      </c>
      <c r="M34" s="23" t="n">
        <f aca="false">INDEX(Tide_table!$A$4:$A$15,K34+1)</f>
        <v>46294.5986111111</v>
      </c>
      <c r="N34" s="17" t="n">
        <f aca="false">INDEX(Tide_table!$B$4:$B$15,K34)</f>
        <v>0.46</v>
      </c>
      <c r="O34" s="17" t="n">
        <f aca="false">INDEX(Tide_table!$B$4:$B$15,K34+1)</f>
        <v>3.29</v>
      </c>
      <c r="P34" s="14" t="str">
        <f aca="false">INDEX(Tide_table!$C$4:$C$15,K34)</f>
        <v>NW</v>
      </c>
      <c r="Q34" s="14" t="str">
        <f aca="false">INDEX(Tide_table!$C$4:$C$15,K34+1)</f>
        <v>HW</v>
      </c>
      <c r="R34" s="17" t="n">
        <f aca="false">N34+(O34-N34)*(1-COS(PI()*(C34-L34)/(M34-L34)))/2</f>
        <v>1.40224259733119</v>
      </c>
      <c r="S34" s="16" t="n">
        <f aca="false">(C34-L34)*24</f>
        <v>2.16666666666667</v>
      </c>
      <c r="T34" s="16" t="n">
        <f aca="false">(M34-C34)*24</f>
        <v>3.36666666666667</v>
      </c>
      <c r="U34" s="14" t="str">
        <f aca="false">IF(MIN(S34,T34)&lt;=Tide_summary!$B$3,IF(IF(S34&lt;=T34,P34,Q34)="HW","High water","Low water"),IF(Q34="HW","Rising","Falling"))</f>
        <v>Rising</v>
      </c>
    </row>
    <row r="35" customFormat="false" ht="15" hidden="false" customHeight="false" outlineLevel="0" collapsed="false">
      <c r="A35" s="14" t="s">
        <v>4</v>
      </c>
      <c r="B35" s="14" t="s">
        <v>96</v>
      </c>
      <c r="C35" s="23" t="n">
        <f aca="false">DATE(VALUE(RIGHT(A35,4)),VALUE(MID(A35,4,2)),VALUE(LEFT(A35,2)))+TIMEVALUE(B35)</f>
        <v>46294.4722222222</v>
      </c>
      <c r="D35" s="14" t="n">
        <f aca="false">SUMIFS(Data!$D$2:$D$195,Data!$A$2:$A$195,$A35,Data!$B$2:$B$195,$B35)</f>
        <v>43</v>
      </c>
      <c r="E35" s="14" t="n">
        <f aca="false">SUMPRODUCT(--(COUNTIFS(Data!$A$2:$A$195,$A35,Data!$B$2:$B$195,$B35,Data!$C$2:$C$195,Abundance!$A$2:$A$20)&gt;0))</f>
        <v>6</v>
      </c>
      <c r="F35" s="14" t="n">
        <f aca="false">SUMIFS(Data!$D$2:$D$195,Data!$A$2:$A$195,$A35,Data!$B$2:$B$195,$B35,Data!$E$2:$E$195,"I")</f>
        <v>40</v>
      </c>
      <c r="G35" s="14" t="n">
        <f aca="false">SUMIFS(Data!$D$2:$D$195,Data!$A$2:$A$195,$A35,Data!$B$2:$B$195,$B35,Data!$E$2:$E$195,"F")</f>
        <v>1</v>
      </c>
      <c r="H35" s="14" t="n">
        <f aca="false">SUMIFS(Data!$D$2:$D$195,Data!$A$2:$A$195,$A35,Data!$B$2:$B$195,$B35,Data!$E$2:$E$195,"S")</f>
        <v>2</v>
      </c>
      <c r="I35" s="14" t="n">
        <f aca="false">SUMIFS(Data!$D$2:$D$195,Data!$A$2:$A$195,$A35,Data!$B$2:$B$195,$B35,Data!$E$2:$E$195,"W")</f>
        <v>0</v>
      </c>
      <c r="J35" s="15" t="n">
        <v>1.33333333333333</v>
      </c>
      <c r="K35" s="14" t="n">
        <f aca="false">MATCH(C35,Tide_table!$A$4:$A$15,1)</f>
        <v>6</v>
      </c>
      <c r="L35" s="23" t="n">
        <f aca="false">INDEX(Tide_table!$A$4:$A$15,K35)</f>
        <v>46294.3680555556</v>
      </c>
      <c r="M35" s="23" t="n">
        <f aca="false">INDEX(Tide_table!$A$4:$A$15,K35+1)</f>
        <v>46294.5986111111</v>
      </c>
      <c r="N35" s="17" t="n">
        <f aca="false">INDEX(Tide_table!$B$4:$B$15,K35)</f>
        <v>0.46</v>
      </c>
      <c r="O35" s="17" t="n">
        <f aca="false">INDEX(Tide_table!$B$4:$B$15,K35+1)</f>
        <v>3.29</v>
      </c>
      <c r="P35" s="14" t="str">
        <f aca="false">INDEX(Tide_table!$C$4:$C$15,K35)</f>
        <v>NW</v>
      </c>
      <c r="Q35" s="14" t="str">
        <f aca="false">INDEX(Tide_table!$C$4:$C$15,K35+1)</f>
        <v>HW</v>
      </c>
      <c r="R35" s="17" t="n">
        <f aca="false">N35+(O35-N35)*(1-COS(PI()*(C35-L35)/(M35-L35)))/2</f>
        <v>1.66158361951666</v>
      </c>
      <c r="S35" s="16" t="n">
        <f aca="false">(C35-L35)*24</f>
        <v>2.5</v>
      </c>
      <c r="T35" s="16" t="n">
        <f aca="false">(M35-C35)*24</f>
        <v>3.03333333333333</v>
      </c>
      <c r="U35" s="14" t="str">
        <f aca="false">IF(MIN(S35,T35)&lt;=Tide_summary!$B$3,IF(IF(S35&lt;=T35,P35,Q35)="HW","High water","Low water"),IF(Q35="HW","Rising","Falling"))</f>
        <v>Rising</v>
      </c>
    </row>
    <row r="36" customFormat="false" ht="15" hidden="false" customHeight="false" outlineLevel="0" collapsed="false">
      <c r="A36" s="14" t="s">
        <v>4</v>
      </c>
      <c r="B36" s="14" t="s">
        <v>97</v>
      </c>
      <c r="C36" s="23" t="n">
        <f aca="false">DATE(VALUE(RIGHT(A36,4)),VALUE(MID(A36,4,2)),VALUE(LEFT(A36,2)))+TIMEVALUE(B36)</f>
        <v>46294.4861111111</v>
      </c>
      <c r="D36" s="14" t="n">
        <f aca="false">SUMIFS(Data!$D$2:$D$195,Data!$A$2:$A$195,$A36,Data!$B$2:$B$195,$B36)</f>
        <v>5</v>
      </c>
      <c r="E36" s="14" t="n">
        <f aca="false">SUMPRODUCT(--(COUNTIFS(Data!$A$2:$A$195,$A36,Data!$B$2:$B$195,$B36,Data!$C$2:$C$195,Abundance!$A$2:$A$20)&gt;0))</f>
        <v>3</v>
      </c>
      <c r="F36" s="14" t="n">
        <f aca="false">SUMIFS(Data!$D$2:$D$195,Data!$A$2:$A$195,$A36,Data!$B$2:$B$195,$B36,Data!$E$2:$E$195,"I")</f>
        <v>0</v>
      </c>
      <c r="G36" s="14" t="n">
        <f aca="false">SUMIFS(Data!$D$2:$D$195,Data!$A$2:$A$195,$A36,Data!$B$2:$B$195,$B36,Data!$E$2:$E$195,"F")</f>
        <v>3</v>
      </c>
      <c r="H36" s="14" t="n">
        <f aca="false">SUMIFS(Data!$D$2:$D$195,Data!$A$2:$A$195,$A36,Data!$B$2:$B$195,$B36,Data!$E$2:$E$195,"S")</f>
        <v>2</v>
      </c>
      <c r="I36" s="14" t="n">
        <f aca="false">SUMIFS(Data!$D$2:$D$195,Data!$A$2:$A$195,$A36,Data!$B$2:$B$195,$B36,Data!$E$2:$E$195,"W")</f>
        <v>0</v>
      </c>
      <c r="J36" s="15" t="n">
        <v>5</v>
      </c>
      <c r="K36" s="14" t="n">
        <f aca="false">MATCH(C36,Tide_table!$A$4:$A$15,1)</f>
        <v>6</v>
      </c>
      <c r="L36" s="23" t="n">
        <f aca="false">INDEX(Tide_table!$A$4:$A$15,K36)</f>
        <v>46294.3680555556</v>
      </c>
      <c r="M36" s="23" t="n">
        <f aca="false">INDEX(Tide_table!$A$4:$A$15,K36+1)</f>
        <v>46294.5986111111</v>
      </c>
      <c r="N36" s="17" t="n">
        <f aca="false">INDEX(Tide_table!$B$4:$B$15,K36)</f>
        <v>0.46</v>
      </c>
      <c r="O36" s="17" t="n">
        <f aca="false">INDEX(Tide_table!$B$4:$B$15,K36+1)</f>
        <v>3.29</v>
      </c>
      <c r="P36" s="14" t="str">
        <f aca="false">INDEX(Tide_table!$C$4:$C$15,K36)</f>
        <v>NW</v>
      </c>
      <c r="Q36" s="14" t="str">
        <f aca="false">INDEX(Tide_table!$C$4:$C$15,K36+1)</f>
        <v>HW</v>
      </c>
      <c r="R36" s="17" t="n">
        <f aca="false">N36+(O36-N36)*(1-COS(PI()*(C36-L36)/(M36-L36)))/2</f>
        <v>1.9285456895555</v>
      </c>
      <c r="S36" s="16" t="n">
        <f aca="false">(C36-L36)*24</f>
        <v>2.83333333333333</v>
      </c>
      <c r="T36" s="16" t="n">
        <f aca="false">(M36-C36)*24</f>
        <v>2.7</v>
      </c>
      <c r="U36" s="14" t="str">
        <f aca="false">IF(MIN(S36,T36)&lt;=Tide_summary!$B$3,IF(IF(S36&lt;=T36,P36,Q36)="HW","High water","Low water"),IF(Q36="HW","Rising","Falling"))</f>
        <v>Rising</v>
      </c>
    </row>
    <row r="37" customFormat="false" ht="15" hidden="false" customHeight="false" outlineLevel="0" collapsed="false">
      <c r="A37" s="14" t="s">
        <v>4</v>
      </c>
      <c r="B37" s="14" t="s">
        <v>113</v>
      </c>
      <c r="C37" s="23" t="n">
        <f aca="false">DATE(VALUE(RIGHT(A37,4)),VALUE(MID(A37,4,2)),VALUE(LEFT(A37,2)))+TIMEVALUE(B37)</f>
        <v>46294.5</v>
      </c>
      <c r="D37" s="14" t="n">
        <f aca="false">SUMIFS(Data!$D$2:$D$195,Data!$A$2:$A$195,$A37,Data!$B$2:$B$195,$B37)</f>
        <v>14</v>
      </c>
      <c r="E37" s="14" t="n">
        <f aca="false">SUMPRODUCT(--(COUNTIFS(Data!$A$2:$A$195,$A37,Data!$B$2:$B$195,$B37,Data!$C$2:$C$195,Abundance!$A$2:$A$20)&gt;0))</f>
        <v>4</v>
      </c>
      <c r="F37" s="14" t="n">
        <f aca="false">SUMIFS(Data!$D$2:$D$195,Data!$A$2:$A$195,$A37,Data!$B$2:$B$195,$B37,Data!$E$2:$E$195,"I")</f>
        <v>6</v>
      </c>
      <c r="G37" s="14" t="n">
        <f aca="false">SUMIFS(Data!$D$2:$D$195,Data!$A$2:$A$195,$A37,Data!$B$2:$B$195,$B37,Data!$E$2:$E$195,"F")</f>
        <v>3</v>
      </c>
      <c r="H37" s="14" t="n">
        <f aca="false">SUMIFS(Data!$D$2:$D$195,Data!$A$2:$A$195,$A37,Data!$B$2:$B$195,$B37,Data!$E$2:$E$195,"S")</f>
        <v>5</v>
      </c>
      <c r="I37" s="14" t="n">
        <f aca="false">SUMIFS(Data!$D$2:$D$195,Data!$A$2:$A$195,$A37,Data!$B$2:$B$195,$B37,Data!$E$2:$E$195,"W")</f>
        <v>0</v>
      </c>
      <c r="J37" s="15" t="n">
        <v>3</v>
      </c>
      <c r="K37" s="14" t="n">
        <f aca="false">MATCH(C37,Tide_table!$A$4:$A$15,1)</f>
        <v>6</v>
      </c>
      <c r="L37" s="23" t="n">
        <f aca="false">INDEX(Tide_table!$A$4:$A$15,K37)</f>
        <v>46294.3680555556</v>
      </c>
      <c r="M37" s="23" t="n">
        <f aca="false">INDEX(Tide_table!$A$4:$A$15,K37+1)</f>
        <v>46294.5986111111</v>
      </c>
      <c r="N37" s="17" t="n">
        <f aca="false">INDEX(Tide_table!$B$4:$B$15,K37)</f>
        <v>0.46</v>
      </c>
      <c r="O37" s="17" t="n">
        <f aca="false">INDEX(Tide_table!$B$4:$B$15,K37+1)</f>
        <v>3.29</v>
      </c>
      <c r="P37" s="14" t="str">
        <f aca="false">INDEX(Tide_table!$C$4:$C$15,K37)</f>
        <v>NW</v>
      </c>
      <c r="Q37" s="14" t="str">
        <f aca="false">INDEX(Tide_table!$C$4:$C$15,K37+1)</f>
        <v>HW</v>
      </c>
      <c r="R37" s="17" t="n">
        <f aca="false">N37+(O37-N37)*(1-COS(PI()*(C37-L37)/(M37-L37)))/2</f>
        <v>2.19359565583961</v>
      </c>
      <c r="S37" s="16" t="n">
        <f aca="false">(C37-L37)*24</f>
        <v>3.16666666666667</v>
      </c>
      <c r="T37" s="16" t="n">
        <f aca="false">(M37-C37)*24</f>
        <v>2.36666666666667</v>
      </c>
      <c r="U37" s="14" t="str">
        <f aca="false">IF(MIN(S37,T37)&lt;=Tide_summary!$B$3,IF(IF(S37&lt;=T37,P37,Q37)="HW","High water","Low water"),IF(Q37="HW","Rising","Falling"))</f>
        <v>Rising</v>
      </c>
    </row>
    <row r="38" customFormat="false" ht="15" hidden="false" customHeight="false" outlineLevel="0" collapsed="false">
      <c r="A38" s="14" t="s">
        <v>4</v>
      </c>
      <c r="B38" s="14" t="s">
        <v>99</v>
      </c>
      <c r="C38" s="23" t="n">
        <f aca="false">DATE(VALUE(RIGHT(A38,4)),VALUE(MID(A38,4,2)),VALUE(LEFT(A38,2)))+TIMEVALUE(B38)</f>
        <v>46294.5138888889</v>
      </c>
      <c r="D38" s="14" t="n">
        <f aca="false">SUMIFS(Data!$D$2:$D$195,Data!$A$2:$A$195,$A38,Data!$B$2:$B$195,$B38)</f>
        <v>11</v>
      </c>
      <c r="E38" s="14" t="n">
        <f aca="false">SUMPRODUCT(--(COUNTIFS(Data!$A$2:$A$195,$A38,Data!$B$2:$B$195,$B38,Data!$C$2:$C$195,Abundance!$A$2:$A$20)&gt;0))</f>
        <v>3</v>
      </c>
      <c r="F38" s="14" t="n">
        <f aca="false">SUMIFS(Data!$D$2:$D$195,Data!$A$2:$A$195,$A38,Data!$B$2:$B$195,$B38,Data!$E$2:$E$195,"I")</f>
        <v>9</v>
      </c>
      <c r="G38" s="14" t="n">
        <f aca="false">SUMIFS(Data!$D$2:$D$195,Data!$A$2:$A$195,$A38,Data!$B$2:$B$195,$B38,Data!$E$2:$E$195,"F")</f>
        <v>0</v>
      </c>
      <c r="H38" s="14" t="n">
        <f aca="false">SUMIFS(Data!$D$2:$D$195,Data!$A$2:$A$195,$A38,Data!$B$2:$B$195,$B38,Data!$E$2:$E$195,"S")</f>
        <v>2</v>
      </c>
      <c r="I38" s="14" t="n">
        <f aca="false">SUMIFS(Data!$D$2:$D$195,Data!$A$2:$A$195,$A38,Data!$B$2:$B$195,$B38,Data!$E$2:$E$195,"W")</f>
        <v>0</v>
      </c>
      <c r="J38" s="15" t="n">
        <v>1</v>
      </c>
      <c r="K38" s="14" t="n">
        <f aca="false">MATCH(C38,Tide_table!$A$4:$A$15,1)</f>
        <v>6</v>
      </c>
      <c r="L38" s="23" t="n">
        <f aca="false">INDEX(Tide_table!$A$4:$A$15,K38)</f>
        <v>46294.3680555556</v>
      </c>
      <c r="M38" s="23" t="n">
        <f aca="false">INDEX(Tide_table!$A$4:$A$15,K38+1)</f>
        <v>46294.5986111111</v>
      </c>
      <c r="N38" s="17" t="n">
        <f aca="false">INDEX(Tide_table!$B$4:$B$15,K38)</f>
        <v>0.46</v>
      </c>
      <c r="O38" s="17" t="n">
        <f aca="false">INDEX(Tide_table!$B$4:$B$15,K38+1)</f>
        <v>3.29</v>
      </c>
      <c r="P38" s="14" t="str">
        <f aca="false">INDEX(Tide_table!$C$4:$C$15,K38)</f>
        <v>NW</v>
      </c>
      <c r="Q38" s="14" t="str">
        <f aca="false">INDEX(Tide_table!$C$4:$C$15,K38+1)</f>
        <v>HW</v>
      </c>
      <c r="R38" s="17" t="n">
        <f aca="false">N38+(O38-N38)*(1-COS(PI()*(C38-L38)/(M38-L38)))/2</f>
        <v>2.44726864752817</v>
      </c>
      <c r="S38" s="16" t="n">
        <f aca="false">(C38-L38)*24</f>
        <v>3.5</v>
      </c>
      <c r="T38" s="16" t="n">
        <f aca="false">(M38-C38)*24</f>
        <v>2.03333333333333</v>
      </c>
      <c r="U38" s="14" t="str">
        <f aca="false">IF(MIN(S38,T38)&lt;=Tide_summary!$B$3,IF(IF(S38&lt;=T38,P38,Q38)="HW","High water","Low water"),IF(Q38="HW","Rising","Falling"))</f>
        <v>Rising</v>
      </c>
    </row>
    <row r="39" customFormat="false" ht="15" hidden="false" customHeight="false" outlineLevel="0" collapsed="false">
      <c r="A39" s="14" t="s">
        <v>4</v>
      </c>
      <c r="B39" s="14" t="s">
        <v>100</v>
      </c>
      <c r="C39" s="23" t="n">
        <f aca="false">DATE(VALUE(RIGHT(A39,4)),VALUE(MID(A39,4,2)),VALUE(LEFT(A39,2)))+TIMEVALUE(B39)</f>
        <v>46294.5277777778</v>
      </c>
      <c r="D39" s="14" t="n">
        <f aca="false">SUMIFS(Data!$D$2:$D$195,Data!$A$2:$A$195,$A39,Data!$B$2:$B$195,$B39)</f>
        <v>19</v>
      </c>
      <c r="E39" s="14" t="n">
        <f aca="false">SUMPRODUCT(--(COUNTIFS(Data!$A$2:$A$195,$A39,Data!$B$2:$B$195,$B39,Data!$C$2:$C$195,Abundance!$A$2:$A$20)&gt;0))</f>
        <v>6</v>
      </c>
      <c r="F39" s="14" t="n">
        <f aca="false">SUMIFS(Data!$D$2:$D$195,Data!$A$2:$A$195,$A39,Data!$B$2:$B$195,$B39,Data!$E$2:$E$195,"I")</f>
        <v>16</v>
      </c>
      <c r="G39" s="14" t="n">
        <f aca="false">SUMIFS(Data!$D$2:$D$195,Data!$A$2:$A$195,$A39,Data!$B$2:$B$195,$B39,Data!$E$2:$E$195,"F")</f>
        <v>0</v>
      </c>
      <c r="H39" s="14" t="n">
        <f aca="false">SUMIFS(Data!$D$2:$D$195,Data!$A$2:$A$195,$A39,Data!$B$2:$B$195,$B39,Data!$E$2:$E$195,"S")</f>
        <v>3</v>
      </c>
      <c r="I39" s="14" t="n">
        <f aca="false">SUMIFS(Data!$D$2:$D$195,Data!$A$2:$A$195,$A39,Data!$B$2:$B$195,$B39,Data!$E$2:$E$195,"W")</f>
        <v>0</v>
      </c>
      <c r="J39" s="15" t="n">
        <v>2.16666666666667</v>
      </c>
      <c r="K39" s="14" t="n">
        <f aca="false">MATCH(C39,Tide_table!$A$4:$A$15,1)</f>
        <v>6</v>
      </c>
      <c r="L39" s="23" t="n">
        <f aca="false">INDEX(Tide_table!$A$4:$A$15,K39)</f>
        <v>46294.3680555556</v>
      </c>
      <c r="M39" s="23" t="n">
        <f aca="false">INDEX(Tide_table!$A$4:$A$15,K39+1)</f>
        <v>46294.5986111111</v>
      </c>
      <c r="N39" s="17" t="n">
        <f aca="false">INDEX(Tide_table!$B$4:$B$15,K39)</f>
        <v>0.46</v>
      </c>
      <c r="O39" s="17" t="n">
        <f aca="false">INDEX(Tide_table!$B$4:$B$15,K39+1)</f>
        <v>3.29</v>
      </c>
      <c r="P39" s="14" t="str">
        <f aca="false">INDEX(Tide_table!$C$4:$C$15,K39)</f>
        <v>NW</v>
      </c>
      <c r="Q39" s="14" t="str">
        <f aca="false">INDEX(Tide_table!$C$4:$C$15,K39+1)</f>
        <v>HW</v>
      </c>
      <c r="R39" s="17" t="n">
        <f aca="false">N39+(O39-N39)*(1-COS(PI()*(C39-L39)/(M39-L39)))/2</f>
        <v>2.68050606281941</v>
      </c>
      <c r="S39" s="16" t="n">
        <f aca="false">(C39-L39)*24</f>
        <v>3.83333333333333</v>
      </c>
      <c r="T39" s="16" t="n">
        <f aca="false">(M39-C39)*24</f>
        <v>1.7</v>
      </c>
      <c r="U39" s="14" t="str">
        <f aca="false">IF(MIN(S39,T39)&lt;=Tide_summary!$B$3,IF(IF(S39&lt;=T39,P39,Q39)="HW","High water","Low water"),IF(Q39="HW","Rising","Falling"))</f>
        <v>Rising</v>
      </c>
    </row>
    <row r="40" customFormat="false" ht="15" hidden="false" customHeight="false" outlineLevel="0" collapsed="false">
      <c r="A40" s="14" t="s">
        <v>4</v>
      </c>
      <c r="B40" s="14" t="s">
        <v>101</v>
      </c>
      <c r="C40" s="23" t="n">
        <f aca="false">DATE(VALUE(RIGHT(A40,4)),VALUE(MID(A40,4,2)),VALUE(LEFT(A40,2)))+TIMEVALUE(B40)</f>
        <v>46294.5416666667</v>
      </c>
      <c r="D40" s="14" t="n">
        <f aca="false">SUMIFS(Data!$D$2:$D$195,Data!$A$2:$A$195,$A40,Data!$B$2:$B$195,$B40)</f>
        <v>2</v>
      </c>
      <c r="E40" s="14" t="n">
        <f aca="false">SUMPRODUCT(--(COUNTIFS(Data!$A$2:$A$195,$A40,Data!$B$2:$B$195,$B40,Data!$C$2:$C$195,Abundance!$A$2:$A$20)&gt;0))</f>
        <v>1</v>
      </c>
      <c r="F40" s="14" t="n">
        <f aca="false">SUMIFS(Data!$D$2:$D$195,Data!$A$2:$A$195,$A40,Data!$B$2:$B$195,$B40,Data!$E$2:$E$195,"I")</f>
        <v>0</v>
      </c>
      <c r="G40" s="14" t="n">
        <f aca="false">SUMIFS(Data!$D$2:$D$195,Data!$A$2:$A$195,$A40,Data!$B$2:$B$195,$B40,Data!$E$2:$E$195,"F")</f>
        <v>2</v>
      </c>
      <c r="H40" s="14" t="n">
        <f aca="false">SUMIFS(Data!$D$2:$D$195,Data!$A$2:$A$195,$A40,Data!$B$2:$B$195,$B40,Data!$E$2:$E$195,"S")</f>
        <v>0</v>
      </c>
      <c r="I40" s="14" t="n">
        <f aca="false">SUMIFS(Data!$D$2:$D$195,Data!$A$2:$A$195,$A40,Data!$B$2:$B$195,$B40,Data!$E$2:$E$195,"W")</f>
        <v>0</v>
      </c>
      <c r="J40" s="15" t="n">
        <v>1</v>
      </c>
      <c r="K40" s="14" t="n">
        <f aca="false">MATCH(C40,Tide_table!$A$4:$A$15,1)</f>
        <v>6</v>
      </c>
      <c r="L40" s="23" t="n">
        <f aca="false">INDEX(Tide_table!$A$4:$A$15,K40)</f>
        <v>46294.3680555556</v>
      </c>
      <c r="M40" s="23" t="n">
        <f aca="false">INDEX(Tide_table!$A$4:$A$15,K40+1)</f>
        <v>46294.5986111111</v>
      </c>
      <c r="N40" s="17" t="n">
        <f aca="false">INDEX(Tide_table!$B$4:$B$15,K40)</f>
        <v>0.46</v>
      </c>
      <c r="O40" s="17" t="n">
        <f aca="false">INDEX(Tide_table!$B$4:$B$15,K40+1)</f>
        <v>3.29</v>
      </c>
      <c r="P40" s="14" t="str">
        <f aca="false">INDEX(Tide_table!$C$4:$C$15,K40)</f>
        <v>NW</v>
      </c>
      <c r="Q40" s="14" t="str">
        <f aca="false">INDEX(Tide_table!$C$4:$C$15,K40+1)</f>
        <v>HW</v>
      </c>
      <c r="R40" s="17" t="n">
        <f aca="false">N40+(O40-N40)*(1-COS(PI()*(C40-L40)/(M40-L40)))/2</f>
        <v>2.8849790494523</v>
      </c>
      <c r="S40" s="16" t="n">
        <f aca="false">(C40-L40)*24</f>
        <v>4.16666666666667</v>
      </c>
      <c r="T40" s="16" t="n">
        <f aca="false">(M40-C40)*24</f>
        <v>1.36666666666667</v>
      </c>
      <c r="U40" s="14" t="str">
        <f aca="false">IF(MIN(S40,T40)&lt;=Tide_summary!$B$3,IF(IF(S40&lt;=T40,P40,Q40)="HW","High water","Low water"),IF(Q40="HW","Rising","Falling"))</f>
        <v>High water</v>
      </c>
    </row>
    <row r="41" customFormat="false" ht="15" hidden="false" customHeight="false" outlineLevel="0" collapsed="false">
      <c r="A41" s="14" t="s">
        <v>4</v>
      </c>
      <c r="B41" s="14" t="s">
        <v>115</v>
      </c>
      <c r="C41" s="23" t="n">
        <f aca="false">DATE(VALUE(RIGHT(A41,4)),VALUE(MID(A41,4,2)),VALUE(LEFT(A41,2)))+TIMEVALUE(B41)</f>
        <v>46294.5555555556</v>
      </c>
      <c r="D41" s="14" t="n">
        <f aca="false">SUMIFS(Data!$D$2:$D$195,Data!$A$2:$A$195,$A41,Data!$B$2:$B$195,$B41)</f>
        <v>2</v>
      </c>
      <c r="E41" s="14" t="n">
        <f aca="false">SUMPRODUCT(--(COUNTIFS(Data!$A$2:$A$195,$A41,Data!$B$2:$B$195,$B41,Data!$C$2:$C$195,Abundance!$A$2:$A$20)&gt;0))</f>
        <v>1</v>
      </c>
      <c r="F41" s="14" t="n">
        <f aca="false">SUMIFS(Data!$D$2:$D$195,Data!$A$2:$A$195,$A41,Data!$B$2:$B$195,$B41,Data!$E$2:$E$195,"I")</f>
        <v>0</v>
      </c>
      <c r="G41" s="14" t="n">
        <f aca="false">SUMIFS(Data!$D$2:$D$195,Data!$A$2:$A$195,$A41,Data!$B$2:$B$195,$B41,Data!$E$2:$E$195,"F")</f>
        <v>2</v>
      </c>
      <c r="H41" s="14" t="n">
        <f aca="false">SUMIFS(Data!$D$2:$D$195,Data!$A$2:$A$195,$A41,Data!$B$2:$B$195,$B41,Data!$E$2:$E$195,"S")</f>
        <v>0</v>
      </c>
      <c r="I41" s="14" t="n">
        <f aca="false">SUMIFS(Data!$D$2:$D$195,Data!$A$2:$A$195,$A41,Data!$B$2:$B$195,$B41,Data!$E$2:$E$195,"W")</f>
        <v>0</v>
      </c>
      <c r="J41" s="15" t="n">
        <v>1</v>
      </c>
      <c r="K41" s="14" t="n">
        <f aca="false">MATCH(C41,Tide_table!$A$4:$A$15,1)</f>
        <v>6</v>
      </c>
      <c r="L41" s="23" t="n">
        <f aca="false">INDEX(Tide_table!$A$4:$A$15,K41)</f>
        <v>46294.3680555556</v>
      </c>
      <c r="M41" s="23" t="n">
        <f aca="false">INDEX(Tide_table!$A$4:$A$15,K41+1)</f>
        <v>46294.5986111111</v>
      </c>
      <c r="N41" s="17" t="n">
        <f aca="false">INDEX(Tide_table!$B$4:$B$15,K41)</f>
        <v>0.46</v>
      </c>
      <c r="O41" s="17" t="n">
        <f aca="false">INDEX(Tide_table!$B$4:$B$15,K41+1)</f>
        <v>3.29</v>
      </c>
      <c r="P41" s="14" t="str">
        <f aca="false">INDEX(Tide_table!$C$4:$C$15,K41)</f>
        <v>NW</v>
      </c>
      <c r="Q41" s="14" t="str">
        <f aca="false">INDEX(Tide_table!$C$4:$C$15,K41+1)</f>
        <v>HW</v>
      </c>
      <c r="R41" s="17" t="n">
        <f aca="false">N41+(O41-N41)*(1-COS(PI()*(C41-L41)/(M41-L41)))/2</f>
        <v>3.05338592602672</v>
      </c>
      <c r="S41" s="16" t="n">
        <f aca="false">(C41-L41)*24</f>
        <v>4.5</v>
      </c>
      <c r="T41" s="16" t="n">
        <f aca="false">(M41-C41)*24</f>
        <v>1.03333333333333</v>
      </c>
      <c r="U41" s="14" t="str">
        <f aca="false">IF(MIN(S41,T41)&lt;=Tide_summary!$B$3,IF(IF(S41&lt;=T41,P41,Q41)="HW","High water","Low water"),IF(Q41="HW","Rising","Falling"))</f>
        <v>High water</v>
      </c>
    </row>
    <row r="42" customFormat="false" ht="15" hidden="false" customHeight="false" outlineLevel="0" collapsed="false">
      <c r="A42" s="14" t="s">
        <v>4</v>
      </c>
      <c r="B42" s="14" t="s">
        <v>102</v>
      </c>
      <c r="C42" s="23" t="n">
        <f aca="false">DATE(VALUE(RIGHT(A42,4)),VALUE(MID(A42,4,2)),VALUE(LEFT(A42,2)))+TIMEVALUE(B42)</f>
        <v>46294.5694444444</v>
      </c>
      <c r="D42" s="14" t="n">
        <f aca="false">SUMIFS(Data!$D$2:$D$195,Data!$A$2:$A$195,$A42,Data!$B$2:$B$195,$B42)</f>
        <v>1</v>
      </c>
      <c r="E42" s="14" t="n">
        <f aca="false">SUMPRODUCT(--(COUNTIFS(Data!$A$2:$A$195,$A42,Data!$B$2:$B$195,$B42,Data!$C$2:$C$195,Abundance!$A$2:$A$20)&gt;0))</f>
        <v>1</v>
      </c>
      <c r="F42" s="14" t="n">
        <f aca="false">SUMIFS(Data!$D$2:$D$195,Data!$A$2:$A$195,$A42,Data!$B$2:$B$195,$B42,Data!$E$2:$E$195,"I")</f>
        <v>1</v>
      </c>
      <c r="G42" s="14" t="n">
        <f aca="false">SUMIFS(Data!$D$2:$D$195,Data!$A$2:$A$195,$A42,Data!$B$2:$B$195,$B42,Data!$E$2:$E$195,"F")</f>
        <v>0</v>
      </c>
      <c r="H42" s="14" t="n">
        <f aca="false">SUMIFS(Data!$D$2:$D$195,Data!$A$2:$A$195,$A42,Data!$B$2:$B$195,$B42,Data!$E$2:$E$195,"S")</f>
        <v>0</v>
      </c>
      <c r="I42" s="14" t="n">
        <f aca="false">SUMIFS(Data!$D$2:$D$195,Data!$A$2:$A$195,$A42,Data!$B$2:$B$195,$B42,Data!$E$2:$E$195,"W")</f>
        <v>0</v>
      </c>
      <c r="J42" s="15" t="n">
        <v>3</v>
      </c>
      <c r="K42" s="14" t="n">
        <f aca="false">MATCH(C42,Tide_table!$A$4:$A$15,1)</f>
        <v>6</v>
      </c>
      <c r="L42" s="23" t="n">
        <f aca="false">INDEX(Tide_table!$A$4:$A$15,K42)</f>
        <v>46294.3680555556</v>
      </c>
      <c r="M42" s="23" t="n">
        <f aca="false">INDEX(Tide_table!$A$4:$A$15,K42+1)</f>
        <v>46294.5986111111</v>
      </c>
      <c r="N42" s="17" t="n">
        <f aca="false">INDEX(Tide_table!$B$4:$B$15,K42)</f>
        <v>0.46</v>
      </c>
      <c r="O42" s="17" t="n">
        <f aca="false">INDEX(Tide_table!$B$4:$B$15,K42+1)</f>
        <v>3.29</v>
      </c>
      <c r="P42" s="14" t="str">
        <f aca="false">INDEX(Tide_table!$C$4:$C$15,K42)</f>
        <v>NW</v>
      </c>
      <c r="Q42" s="14" t="str">
        <f aca="false">INDEX(Tide_table!$C$4:$C$15,K42+1)</f>
        <v>HW</v>
      </c>
      <c r="R42" s="17" t="n">
        <f aca="false">N42+(O42-N42)*(1-COS(PI()*(C42-L42)/(M42-L42)))/2</f>
        <v>3.17971292329822</v>
      </c>
      <c r="S42" s="16" t="n">
        <f aca="false">(C42-L42)*24</f>
        <v>4.83333333333333</v>
      </c>
      <c r="T42" s="16" t="n">
        <f aca="false">(M42-C42)*24</f>
        <v>0.7</v>
      </c>
      <c r="U42" s="14" t="str">
        <f aca="false">IF(MIN(S42,T42)&lt;=Tide_summary!$B$3,IF(IF(S42&lt;=T42,P42,Q42)="HW","High water","Low water"),IF(Q42="HW","Rising","Falling"))</f>
        <v>High water</v>
      </c>
    </row>
    <row r="43" customFormat="false" ht="15" hidden="false" customHeight="false" outlineLevel="0" collapsed="false">
      <c r="A43" s="14" t="s">
        <v>4</v>
      </c>
      <c r="B43" s="14" t="s">
        <v>103</v>
      </c>
      <c r="C43" s="23" t="n">
        <f aca="false">DATE(VALUE(RIGHT(A43,4)),VALUE(MID(A43,4,2)),VALUE(LEFT(A43,2)))+TIMEVALUE(B43)</f>
        <v>46294.5833333333</v>
      </c>
      <c r="D43" s="14" t="n">
        <f aca="false">SUMIFS(Data!$D$2:$D$195,Data!$A$2:$A$195,$A43,Data!$B$2:$B$195,$B43)</f>
        <v>2</v>
      </c>
      <c r="E43" s="14" t="n">
        <f aca="false">SUMPRODUCT(--(COUNTIFS(Data!$A$2:$A$195,$A43,Data!$B$2:$B$195,$B43,Data!$C$2:$C$195,Abundance!$A$2:$A$20)&gt;0))</f>
        <v>1</v>
      </c>
      <c r="F43" s="14" t="n">
        <f aca="false">SUMIFS(Data!$D$2:$D$195,Data!$A$2:$A$195,$A43,Data!$B$2:$B$195,$B43,Data!$E$2:$E$195,"I")</f>
        <v>2</v>
      </c>
      <c r="G43" s="14" t="n">
        <f aca="false">SUMIFS(Data!$D$2:$D$195,Data!$A$2:$A$195,$A43,Data!$B$2:$B$195,$B43,Data!$E$2:$E$195,"F")</f>
        <v>0</v>
      </c>
      <c r="H43" s="14" t="n">
        <f aca="false">SUMIFS(Data!$D$2:$D$195,Data!$A$2:$A$195,$A43,Data!$B$2:$B$195,$B43,Data!$E$2:$E$195,"S")</f>
        <v>0</v>
      </c>
      <c r="I43" s="14" t="n">
        <f aca="false">SUMIFS(Data!$D$2:$D$195,Data!$A$2:$A$195,$A43,Data!$B$2:$B$195,$B43,Data!$E$2:$E$195,"W")</f>
        <v>0</v>
      </c>
      <c r="J43" s="15" t="n">
        <v>4</v>
      </c>
      <c r="K43" s="14" t="n">
        <f aca="false">MATCH(C43,Tide_table!$A$4:$A$15,1)</f>
        <v>6</v>
      </c>
      <c r="L43" s="23" t="n">
        <f aca="false">INDEX(Tide_table!$A$4:$A$15,K43)</f>
        <v>46294.3680555556</v>
      </c>
      <c r="M43" s="23" t="n">
        <f aca="false">INDEX(Tide_table!$A$4:$A$15,K43+1)</f>
        <v>46294.5986111111</v>
      </c>
      <c r="N43" s="17" t="n">
        <f aca="false">INDEX(Tide_table!$B$4:$B$15,K43)</f>
        <v>0.46</v>
      </c>
      <c r="O43" s="17" t="n">
        <f aca="false">INDEX(Tide_table!$B$4:$B$15,K43+1)</f>
        <v>3.29</v>
      </c>
      <c r="P43" s="14" t="str">
        <f aca="false">INDEX(Tide_table!$C$4:$C$15,K43)</f>
        <v>NW</v>
      </c>
      <c r="Q43" s="14" t="str">
        <f aca="false">INDEX(Tide_table!$C$4:$C$15,K43+1)</f>
        <v>HW</v>
      </c>
      <c r="R43" s="17" t="n">
        <f aca="false">N43+(O43-N43)*(1-COS(PI()*(C43-L43)/(M43-L43)))/2</f>
        <v>3.25944893443799</v>
      </c>
      <c r="S43" s="16" t="n">
        <f aca="false">(C43-L43)*24</f>
        <v>5.16666666666667</v>
      </c>
      <c r="T43" s="16" t="n">
        <f aca="false">(M43-C43)*24</f>
        <v>0.366666666666667</v>
      </c>
      <c r="U43" s="14" t="str">
        <f aca="false">IF(MIN(S43,T43)&lt;=Tide_summary!$B$3,IF(IF(S43&lt;=T43,P43,Q43)="HW","High water","Low water"),IF(Q43="HW","Rising","Falling"))</f>
        <v>High water</v>
      </c>
    </row>
    <row r="44" customFormat="false" ht="15" hidden="false" customHeight="false" outlineLevel="0" collapsed="false">
      <c r="A44" s="14" t="s">
        <v>4</v>
      </c>
      <c r="B44" s="14" t="s">
        <v>124</v>
      </c>
      <c r="C44" s="23" t="n">
        <f aca="false">DATE(VALUE(RIGHT(A44,4)),VALUE(MID(A44,4,2)),VALUE(LEFT(A44,2)))+TIMEVALUE(B44)</f>
        <v>46294.5972222222</v>
      </c>
      <c r="D44" s="14" t="n">
        <f aca="false">SUMIFS(Data!$D$2:$D$195,Data!$A$2:$A$195,$A44,Data!$B$2:$B$195,$B44)</f>
        <v>0</v>
      </c>
      <c r="E44" s="14" t="n">
        <f aca="false">SUMPRODUCT(--(COUNTIFS(Data!$A$2:$A$195,$A44,Data!$B$2:$B$195,$B44,Data!$C$2:$C$195,Abundance!$A$2:$A$20)&gt;0))</f>
        <v>0</v>
      </c>
      <c r="F44" s="14" t="n">
        <f aca="false">SUMIFS(Data!$D$2:$D$195,Data!$A$2:$A$195,$A44,Data!$B$2:$B$195,$B44,Data!$E$2:$E$195,"I")</f>
        <v>0</v>
      </c>
      <c r="G44" s="14" t="n">
        <f aca="false">SUMIFS(Data!$D$2:$D$195,Data!$A$2:$A$195,$A44,Data!$B$2:$B$195,$B44,Data!$E$2:$E$195,"F")</f>
        <v>0</v>
      </c>
      <c r="H44" s="14" t="n">
        <f aca="false">SUMIFS(Data!$D$2:$D$195,Data!$A$2:$A$195,$A44,Data!$B$2:$B$195,$B44,Data!$E$2:$E$195,"S")</f>
        <v>0</v>
      </c>
      <c r="I44" s="14" t="n">
        <f aca="false">SUMIFS(Data!$D$2:$D$195,Data!$A$2:$A$195,$A44,Data!$B$2:$B$195,$B44,Data!$E$2:$E$195,"W")</f>
        <v>0</v>
      </c>
      <c r="J44" s="15" t="n">
        <v>4</v>
      </c>
      <c r="K44" s="14" t="n">
        <f aca="false">MATCH(C44,Tide_table!$A$4:$A$15,1)</f>
        <v>6</v>
      </c>
      <c r="L44" s="23" t="n">
        <f aca="false">INDEX(Tide_table!$A$4:$A$15,K44)</f>
        <v>46294.3680555556</v>
      </c>
      <c r="M44" s="23" t="n">
        <f aca="false">INDEX(Tide_table!$A$4:$A$15,K44+1)</f>
        <v>46294.5986111111</v>
      </c>
      <c r="N44" s="17" t="n">
        <f aca="false">INDEX(Tide_table!$B$4:$B$15,K44)</f>
        <v>0.46</v>
      </c>
      <c r="O44" s="17" t="n">
        <f aca="false">INDEX(Tide_table!$B$4:$B$15,K44+1)</f>
        <v>3.29</v>
      </c>
      <c r="P44" s="14" t="str">
        <f aca="false">INDEX(Tide_table!$C$4:$C$15,K44)</f>
        <v>NW</v>
      </c>
      <c r="Q44" s="14" t="str">
        <f aca="false">INDEX(Tide_table!$C$4:$C$15,K44+1)</f>
        <v>HW</v>
      </c>
      <c r="R44" s="17" t="n">
        <f aca="false">N44+(O44-N44)*(1-COS(PI()*(C44-L44)/(M44-L44)))/2</f>
        <v>3.28974660557768</v>
      </c>
      <c r="S44" s="16" t="n">
        <f aca="false">(C44-L44)*24</f>
        <v>5.5</v>
      </c>
      <c r="T44" s="16" t="n">
        <f aca="false">(M44-C44)*24</f>
        <v>0.0333333333333333</v>
      </c>
      <c r="U44" s="14" t="str">
        <f aca="false">IF(MIN(S44,T44)&lt;=Tide_summary!$B$3,IF(IF(S44&lt;=T44,P44,Q44)="HW","High water","Low water"),IF(Q44="HW","Rising","Falling"))</f>
        <v>High water</v>
      </c>
    </row>
    <row r="45" customFormat="false" ht="15" hidden="false" customHeight="false" outlineLevel="0" collapsed="false">
      <c r="A45" s="14" t="s">
        <v>4</v>
      </c>
      <c r="B45" s="14" t="s">
        <v>116</v>
      </c>
      <c r="C45" s="23" t="n">
        <f aca="false">DATE(VALUE(RIGHT(A45,4)),VALUE(MID(A45,4,2)),VALUE(LEFT(A45,2)))+TIMEVALUE(B45)</f>
        <v>46294.6111111111</v>
      </c>
      <c r="D45" s="14" t="n">
        <f aca="false">SUMIFS(Data!$D$2:$D$195,Data!$A$2:$A$195,$A45,Data!$B$2:$B$195,$B45)</f>
        <v>4</v>
      </c>
      <c r="E45" s="14" t="n">
        <f aca="false">SUMPRODUCT(--(COUNTIFS(Data!$A$2:$A$195,$A45,Data!$B$2:$B$195,$B45,Data!$C$2:$C$195,Abundance!$A$2:$A$20)&gt;0))</f>
        <v>2</v>
      </c>
      <c r="F45" s="14" t="n">
        <f aca="false">SUMIFS(Data!$D$2:$D$195,Data!$A$2:$A$195,$A45,Data!$B$2:$B$195,$B45,Data!$E$2:$E$195,"I")</f>
        <v>4</v>
      </c>
      <c r="G45" s="14" t="n">
        <f aca="false">SUMIFS(Data!$D$2:$D$195,Data!$A$2:$A$195,$A45,Data!$B$2:$B$195,$B45,Data!$E$2:$E$195,"F")</f>
        <v>0</v>
      </c>
      <c r="H45" s="14" t="n">
        <f aca="false">SUMIFS(Data!$D$2:$D$195,Data!$A$2:$A$195,$A45,Data!$B$2:$B$195,$B45,Data!$E$2:$E$195,"S")</f>
        <v>0</v>
      </c>
      <c r="I45" s="14" t="n">
        <f aca="false">SUMIFS(Data!$D$2:$D$195,Data!$A$2:$A$195,$A45,Data!$B$2:$B$195,$B45,Data!$E$2:$E$195,"W")</f>
        <v>0</v>
      </c>
      <c r="J45" s="15" t="n">
        <v>1.66666666666667</v>
      </c>
      <c r="K45" s="14" t="n">
        <f aca="false">MATCH(C45,Tide_table!$A$4:$A$15,1)</f>
        <v>7</v>
      </c>
      <c r="L45" s="23" t="n">
        <f aca="false">INDEX(Tide_table!$A$4:$A$15,K45)</f>
        <v>46294.5986111111</v>
      </c>
      <c r="M45" s="23" t="n">
        <f aca="false">INDEX(Tide_table!$A$4:$A$15,K45+1)</f>
        <v>46294.8805555556</v>
      </c>
      <c r="N45" s="17" t="n">
        <f aca="false">INDEX(Tide_table!$B$4:$B$15,K45)</f>
        <v>3.29</v>
      </c>
      <c r="O45" s="17" t="n">
        <f aca="false">INDEX(Tide_table!$B$4:$B$15,K45+1)</f>
        <v>0.51</v>
      </c>
      <c r="P45" s="14" t="str">
        <f aca="false">INDEX(Tide_table!$C$4:$C$15,K45)</f>
        <v>HW</v>
      </c>
      <c r="Q45" s="14" t="str">
        <f aca="false">INDEX(Tide_table!$C$4:$C$15,K45+1)</f>
        <v>NW</v>
      </c>
      <c r="R45" s="17" t="n">
        <f aca="false">N45+(O45-N45)*(1-COS(PI()*(C45-L45)/(M45-L45)))/2</f>
        <v>3.27653906321608</v>
      </c>
      <c r="S45" s="16" t="n">
        <f aca="false">(C45-L45)*24</f>
        <v>0.3</v>
      </c>
      <c r="T45" s="16" t="n">
        <f aca="false">(M45-C45)*24</f>
        <v>6.46666666666667</v>
      </c>
      <c r="U45" s="14" t="str">
        <f aca="false">IF(MIN(S45,T45)&lt;=Tide_summary!$B$3,IF(IF(S45&lt;=T45,P45,Q45)="HW","High water","Low water"),IF(Q45="HW","Rising","Falling"))</f>
        <v>High water</v>
      </c>
    </row>
    <row r="46" customFormat="false" ht="15" hidden="false" customHeight="false" outlineLevel="0" collapsed="false">
      <c r="A46" s="14" t="s">
        <v>4</v>
      </c>
      <c r="B46" s="14" t="s">
        <v>105</v>
      </c>
      <c r="C46" s="23" t="n">
        <f aca="false">DATE(VALUE(RIGHT(A46,4)),VALUE(MID(A46,4,2)),VALUE(LEFT(A46,2)))+TIMEVALUE(B46)</f>
        <v>46294.625</v>
      </c>
      <c r="D46" s="14" t="n">
        <f aca="false">SUMIFS(Data!$D$2:$D$195,Data!$A$2:$A$195,$A46,Data!$B$2:$B$195,$B46)</f>
        <v>3</v>
      </c>
      <c r="E46" s="14" t="n">
        <f aca="false">SUMPRODUCT(--(COUNTIFS(Data!$A$2:$A$195,$A46,Data!$B$2:$B$195,$B46,Data!$C$2:$C$195,Abundance!$A$2:$A$20)&gt;0))</f>
        <v>3</v>
      </c>
      <c r="F46" s="14" t="n">
        <f aca="false">SUMIFS(Data!$D$2:$D$195,Data!$A$2:$A$195,$A46,Data!$B$2:$B$195,$B46,Data!$E$2:$E$195,"I")</f>
        <v>0</v>
      </c>
      <c r="G46" s="14" t="n">
        <f aca="false">SUMIFS(Data!$D$2:$D$195,Data!$A$2:$A$195,$A46,Data!$B$2:$B$195,$B46,Data!$E$2:$E$195,"F")</f>
        <v>0</v>
      </c>
      <c r="H46" s="14" t="n">
        <f aca="false">SUMIFS(Data!$D$2:$D$195,Data!$A$2:$A$195,$A46,Data!$B$2:$B$195,$B46,Data!$E$2:$E$195,"S")</f>
        <v>3</v>
      </c>
      <c r="I46" s="14" t="n">
        <f aca="false">SUMIFS(Data!$D$2:$D$195,Data!$A$2:$A$195,$A46,Data!$B$2:$B$195,$B46,Data!$E$2:$E$195,"W")</f>
        <v>0</v>
      </c>
      <c r="J46" s="15" t="n">
        <v>1.33333333333333</v>
      </c>
      <c r="K46" s="14" t="n">
        <f aca="false">MATCH(C46,Tide_table!$A$4:$A$15,1)</f>
        <v>7</v>
      </c>
      <c r="L46" s="23" t="n">
        <f aca="false">INDEX(Tide_table!$A$4:$A$15,K46)</f>
        <v>46294.5986111111</v>
      </c>
      <c r="M46" s="23" t="n">
        <f aca="false">INDEX(Tide_table!$A$4:$A$15,K46+1)</f>
        <v>46294.8805555556</v>
      </c>
      <c r="N46" s="17" t="n">
        <f aca="false">INDEX(Tide_table!$B$4:$B$15,K46)</f>
        <v>3.29</v>
      </c>
      <c r="O46" s="17" t="n">
        <f aca="false">INDEX(Tide_table!$B$4:$B$15,K46+1)</f>
        <v>0.51</v>
      </c>
      <c r="P46" s="14" t="str">
        <f aca="false">INDEX(Tide_table!$C$4:$C$15,K46)</f>
        <v>HW</v>
      </c>
      <c r="Q46" s="14" t="str">
        <f aca="false">INDEX(Tide_table!$C$4:$C$15,K46+1)</f>
        <v>NW</v>
      </c>
      <c r="R46" s="17" t="n">
        <f aca="false">N46+(O46-N46)*(1-COS(PI()*(C46-L46)/(M46-L46)))/2</f>
        <v>3.23034204952059</v>
      </c>
      <c r="S46" s="16" t="n">
        <f aca="false">(C46-L46)*24</f>
        <v>0.633333333333333</v>
      </c>
      <c r="T46" s="16" t="n">
        <f aca="false">(M46-C46)*24</f>
        <v>6.13333333333334</v>
      </c>
      <c r="U46" s="14" t="str">
        <f aca="false">IF(MIN(S46,T46)&lt;=Tide_summary!$B$3,IF(IF(S46&lt;=T46,P46,Q46)="HW","High water","Low water"),IF(Q46="HW","Rising","Falling"))</f>
        <v>High water</v>
      </c>
    </row>
    <row r="47" customFormat="false" ht="15" hidden="false" customHeight="false" outlineLevel="0" collapsed="false">
      <c r="A47" s="14" t="s">
        <v>4</v>
      </c>
      <c r="B47" s="14" t="s">
        <v>125</v>
      </c>
      <c r="C47" s="23" t="n">
        <f aca="false">DATE(VALUE(RIGHT(A47,4)),VALUE(MID(A47,4,2)),VALUE(LEFT(A47,2)))+TIMEVALUE(B47)</f>
        <v>46294.6388888889</v>
      </c>
      <c r="D47" s="14" t="n">
        <f aca="false">SUMIFS(Data!$D$2:$D$195,Data!$A$2:$A$195,$A47,Data!$B$2:$B$195,$B47)</f>
        <v>0</v>
      </c>
      <c r="E47" s="14" t="n">
        <f aca="false">SUMPRODUCT(--(COUNTIFS(Data!$A$2:$A$195,$A47,Data!$B$2:$B$195,$B47,Data!$C$2:$C$195,Abundance!$A$2:$A$20)&gt;0))</f>
        <v>0</v>
      </c>
      <c r="F47" s="14" t="n">
        <f aca="false">SUMIFS(Data!$D$2:$D$195,Data!$A$2:$A$195,$A47,Data!$B$2:$B$195,$B47,Data!$E$2:$E$195,"I")</f>
        <v>0</v>
      </c>
      <c r="G47" s="14" t="n">
        <f aca="false">SUMIFS(Data!$D$2:$D$195,Data!$A$2:$A$195,$A47,Data!$B$2:$B$195,$B47,Data!$E$2:$E$195,"F")</f>
        <v>0</v>
      </c>
      <c r="H47" s="14" t="n">
        <f aca="false">SUMIFS(Data!$D$2:$D$195,Data!$A$2:$A$195,$A47,Data!$B$2:$B$195,$B47,Data!$E$2:$E$195,"S")</f>
        <v>0</v>
      </c>
      <c r="I47" s="14" t="n">
        <f aca="false">SUMIFS(Data!$D$2:$D$195,Data!$A$2:$A$195,$A47,Data!$B$2:$B$195,$B47,Data!$E$2:$E$195,"W")</f>
        <v>0</v>
      </c>
      <c r="J47" s="15" t="n">
        <v>7</v>
      </c>
      <c r="K47" s="14" t="n">
        <f aca="false">MATCH(C47,Tide_table!$A$4:$A$15,1)</f>
        <v>7</v>
      </c>
      <c r="L47" s="23" t="n">
        <f aca="false">INDEX(Tide_table!$A$4:$A$15,K47)</f>
        <v>46294.5986111111</v>
      </c>
      <c r="M47" s="23" t="n">
        <f aca="false">INDEX(Tide_table!$A$4:$A$15,K47+1)</f>
        <v>46294.8805555556</v>
      </c>
      <c r="N47" s="17" t="n">
        <f aca="false">INDEX(Tide_table!$B$4:$B$15,K47)</f>
        <v>3.29</v>
      </c>
      <c r="O47" s="17" t="n">
        <f aca="false">INDEX(Tide_table!$B$4:$B$15,K47+1)</f>
        <v>0.51</v>
      </c>
      <c r="P47" s="14" t="str">
        <f aca="false">INDEX(Tide_table!$C$4:$C$15,K47)</f>
        <v>HW</v>
      </c>
      <c r="Q47" s="14" t="str">
        <f aca="false">INDEX(Tide_table!$C$4:$C$15,K47+1)</f>
        <v>NW</v>
      </c>
      <c r="R47" s="17" t="n">
        <f aca="false">N47+(O47-N47)*(1-COS(PI()*(C47-L47)/(M47-L47)))/2</f>
        <v>3.15234672638436</v>
      </c>
      <c r="S47" s="16" t="n">
        <f aca="false">(C47-L47)*24</f>
        <v>0.966666666666667</v>
      </c>
      <c r="T47" s="16" t="n">
        <f aca="false">(M47-C47)*24</f>
        <v>5.8</v>
      </c>
      <c r="U47" s="14" t="str">
        <f aca="false">IF(MIN(S47,T47)&lt;=Tide_summary!$B$3,IF(IF(S47&lt;=T47,P47,Q47)="HW","High water","Low water"),IF(Q47="HW","Rising","Falling"))</f>
        <v>High water</v>
      </c>
    </row>
    <row r="48" customFormat="false" ht="15" hidden="false" customHeight="false" outlineLevel="0" collapsed="false">
      <c r="A48" s="14" t="s">
        <v>4</v>
      </c>
      <c r="B48" s="14" t="s">
        <v>106</v>
      </c>
      <c r="C48" s="23" t="n">
        <f aca="false">DATE(VALUE(RIGHT(A48,4)),VALUE(MID(A48,4,2)),VALUE(LEFT(A48,2)))+TIMEVALUE(B48)</f>
        <v>46294.6527777778</v>
      </c>
      <c r="D48" s="14" t="n">
        <f aca="false">SUMIFS(Data!$D$2:$D$195,Data!$A$2:$A$195,$A48,Data!$B$2:$B$195,$B48)</f>
        <v>12</v>
      </c>
      <c r="E48" s="14" t="n">
        <f aca="false">SUMPRODUCT(--(COUNTIFS(Data!$A$2:$A$195,$A48,Data!$B$2:$B$195,$B48,Data!$C$2:$C$195,Abundance!$A$2:$A$20)&gt;0))</f>
        <v>4</v>
      </c>
      <c r="F48" s="14" t="n">
        <f aca="false">SUMIFS(Data!$D$2:$D$195,Data!$A$2:$A$195,$A48,Data!$B$2:$B$195,$B48,Data!$E$2:$E$195,"I")</f>
        <v>5</v>
      </c>
      <c r="G48" s="14" t="n">
        <f aca="false">SUMIFS(Data!$D$2:$D$195,Data!$A$2:$A$195,$A48,Data!$B$2:$B$195,$B48,Data!$E$2:$E$195,"F")</f>
        <v>0</v>
      </c>
      <c r="H48" s="14" t="n">
        <f aca="false">SUMIFS(Data!$D$2:$D$195,Data!$A$2:$A$195,$A48,Data!$B$2:$B$195,$B48,Data!$E$2:$E$195,"S")</f>
        <v>7</v>
      </c>
      <c r="I48" s="14" t="n">
        <f aca="false">SUMIFS(Data!$D$2:$D$195,Data!$A$2:$A$195,$A48,Data!$B$2:$B$195,$B48,Data!$E$2:$E$195,"W")</f>
        <v>0</v>
      </c>
      <c r="J48" s="15" t="n">
        <v>1.25</v>
      </c>
      <c r="K48" s="14" t="n">
        <f aca="false">MATCH(C48,Tide_table!$A$4:$A$15,1)</f>
        <v>7</v>
      </c>
      <c r="L48" s="23" t="n">
        <f aca="false">INDEX(Tide_table!$A$4:$A$15,K48)</f>
        <v>46294.5986111111</v>
      </c>
      <c r="M48" s="23" t="n">
        <f aca="false">INDEX(Tide_table!$A$4:$A$15,K48+1)</f>
        <v>46294.8805555556</v>
      </c>
      <c r="N48" s="17" t="n">
        <f aca="false">INDEX(Tide_table!$B$4:$B$15,K48)</f>
        <v>3.29</v>
      </c>
      <c r="O48" s="17" t="n">
        <f aca="false">INDEX(Tide_table!$B$4:$B$15,K48+1)</f>
        <v>0.51</v>
      </c>
      <c r="P48" s="14" t="str">
        <f aca="false">INDEX(Tide_table!$C$4:$C$15,K48)</f>
        <v>HW</v>
      </c>
      <c r="Q48" s="14" t="str">
        <f aca="false">INDEX(Tide_table!$C$4:$C$15,K48+1)</f>
        <v>NW</v>
      </c>
      <c r="R48" s="17" t="n">
        <f aca="false">N48+(O48-N48)*(1-COS(PI()*(C48-L48)/(M48-L48)))/2</f>
        <v>3.04441736579738</v>
      </c>
      <c r="S48" s="16" t="n">
        <f aca="false">(C48-L48)*24</f>
        <v>1.3</v>
      </c>
      <c r="T48" s="16" t="n">
        <f aca="false">(M48-C48)*24</f>
        <v>5.46666666666667</v>
      </c>
      <c r="U48" s="14" t="str">
        <f aca="false">IF(MIN(S48,T48)&lt;=Tide_summary!$B$3,IF(IF(S48&lt;=T48,P48,Q48)="HW","High water","Low water"),IF(Q48="HW","Rising","Falling"))</f>
        <v>High water</v>
      </c>
    </row>
    <row r="49" customFormat="false" ht="15" hidden="false" customHeight="false" outlineLevel="0" collapsed="false">
      <c r="A49" s="14" t="s">
        <v>4</v>
      </c>
      <c r="B49" s="14" t="s">
        <v>118</v>
      </c>
      <c r="C49" s="23" t="n">
        <f aca="false">DATE(VALUE(RIGHT(A49,4)),VALUE(MID(A49,4,2)),VALUE(LEFT(A49,2)))+TIMEVALUE(B49)</f>
        <v>46294.6666666667</v>
      </c>
      <c r="D49" s="14" t="n">
        <f aca="false">SUMIFS(Data!$D$2:$D$195,Data!$A$2:$A$195,$A49,Data!$B$2:$B$195,$B49)</f>
        <v>7</v>
      </c>
      <c r="E49" s="14" t="n">
        <f aca="false">SUMPRODUCT(--(COUNTIFS(Data!$A$2:$A$195,$A49,Data!$B$2:$B$195,$B49,Data!$C$2:$C$195,Abundance!$A$2:$A$20)&gt;0))</f>
        <v>2</v>
      </c>
      <c r="F49" s="14" t="n">
        <f aca="false">SUMIFS(Data!$D$2:$D$195,Data!$A$2:$A$195,$A49,Data!$B$2:$B$195,$B49,Data!$E$2:$E$195,"I")</f>
        <v>6</v>
      </c>
      <c r="G49" s="14" t="n">
        <f aca="false">SUMIFS(Data!$D$2:$D$195,Data!$A$2:$A$195,$A49,Data!$B$2:$B$195,$B49,Data!$E$2:$E$195,"F")</f>
        <v>0</v>
      </c>
      <c r="H49" s="14" t="n">
        <f aca="false">SUMIFS(Data!$D$2:$D$195,Data!$A$2:$A$195,$A49,Data!$B$2:$B$195,$B49,Data!$E$2:$E$195,"S")</f>
        <v>1</v>
      </c>
      <c r="I49" s="14" t="n">
        <f aca="false">SUMIFS(Data!$D$2:$D$195,Data!$A$2:$A$195,$A49,Data!$B$2:$B$195,$B49,Data!$E$2:$E$195,"W")</f>
        <v>0</v>
      </c>
      <c r="J49" s="15" t="n">
        <v>1</v>
      </c>
      <c r="K49" s="14" t="n">
        <f aca="false">MATCH(C49,Tide_table!$A$4:$A$15,1)</f>
        <v>7</v>
      </c>
      <c r="L49" s="23" t="n">
        <f aca="false">INDEX(Tide_table!$A$4:$A$15,K49)</f>
        <v>46294.5986111111</v>
      </c>
      <c r="M49" s="23" t="n">
        <f aca="false">INDEX(Tide_table!$A$4:$A$15,K49+1)</f>
        <v>46294.8805555556</v>
      </c>
      <c r="N49" s="17" t="n">
        <f aca="false">INDEX(Tide_table!$B$4:$B$15,K49)</f>
        <v>3.29</v>
      </c>
      <c r="O49" s="17" t="n">
        <f aca="false">INDEX(Tide_table!$B$4:$B$15,K49+1)</f>
        <v>0.51</v>
      </c>
      <c r="P49" s="14" t="str">
        <f aca="false">INDEX(Tide_table!$C$4:$C$15,K49)</f>
        <v>HW</v>
      </c>
      <c r="Q49" s="14" t="str">
        <f aca="false">INDEX(Tide_table!$C$4:$C$15,K49+1)</f>
        <v>NW</v>
      </c>
      <c r="R49" s="17" t="n">
        <f aca="false">N49+(O49-N49)*(1-COS(PI()*(C49-L49)/(M49-L49)))/2</f>
        <v>2.90913373377315</v>
      </c>
      <c r="S49" s="16" t="n">
        <f aca="false">(C49-L49)*24</f>
        <v>1.63333333333333</v>
      </c>
      <c r="T49" s="16" t="n">
        <f aca="false">(M49-C49)*24</f>
        <v>5.13333333333333</v>
      </c>
      <c r="U49" s="14" t="str">
        <f aca="false">IF(MIN(S49,T49)&lt;=Tide_summary!$B$3,IF(IF(S49&lt;=T49,P49,Q49)="HW","High water","Low water"),IF(Q49="HW","Rising","Falling"))</f>
        <v>Falling</v>
      </c>
    </row>
    <row r="50" customFormat="false" ht="15" hidden="false" customHeight="false" outlineLevel="0" collapsed="false">
      <c r="A50" s="14" t="s">
        <v>4</v>
      </c>
      <c r="B50" s="14" t="s">
        <v>107</v>
      </c>
      <c r="C50" s="23" t="n">
        <f aca="false">DATE(VALUE(RIGHT(A50,4)),VALUE(MID(A50,4,2)),VALUE(LEFT(A50,2)))+TIMEVALUE(B50)</f>
        <v>46294.6805555556</v>
      </c>
      <c r="D50" s="14" t="n">
        <f aca="false">SUMIFS(Data!$D$2:$D$195,Data!$A$2:$A$195,$A50,Data!$B$2:$B$195,$B50)</f>
        <v>12</v>
      </c>
      <c r="E50" s="14" t="n">
        <f aca="false">SUMPRODUCT(--(COUNTIFS(Data!$A$2:$A$195,$A50,Data!$B$2:$B$195,$B50,Data!$C$2:$C$195,Abundance!$A$2:$A$20)&gt;0))</f>
        <v>2</v>
      </c>
      <c r="F50" s="14" t="n">
        <f aca="false">SUMIFS(Data!$D$2:$D$195,Data!$A$2:$A$195,$A50,Data!$B$2:$B$195,$B50,Data!$E$2:$E$195,"I")</f>
        <v>10</v>
      </c>
      <c r="G50" s="14" t="n">
        <f aca="false">SUMIFS(Data!$D$2:$D$195,Data!$A$2:$A$195,$A50,Data!$B$2:$B$195,$B50,Data!$E$2:$E$195,"F")</f>
        <v>0</v>
      </c>
      <c r="H50" s="14" t="n">
        <f aca="false">SUMIFS(Data!$D$2:$D$195,Data!$A$2:$A$195,$A50,Data!$B$2:$B$195,$B50,Data!$E$2:$E$195,"S")</f>
        <v>2</v>
      </c>
      <c r="I50" s="14" t="n">
        <f aca="false">SUMIFS(Data!$D$2:$D$195,Data!$A$2:$A$195,$A50,Data!$B$2:$B$195,$B50,Data!$E$2:$E$195,"W")</f>
        <v>0</v>
      </c>
      <c r="J50" s="15" t="n">
        <v>1</v>
      </c>
      <c r="K50" s="14" t="n">
        <f aca="false">MATCH(C50,Tide_table!$A$4:$A$15,1)</f>
        <v>7</v>
      </c>
      <c r="L50" s="23" t="n">
        <f aca="false">INDEX(Tide_table!$A$4:$A$15,K50)</f>
        <v>46294.5986111111</v>
      </c>
      <c r="M50" s="23" t="n">
        <f aca="false">INDEX(Tide_table!$A$4:$A$15,K50+1)</f>
        <v>46294.8805555556</v>
      </c>
      <c r="N50" s="17" t="n">
        <f aca="false">INDEX(Tide_table!$B$4:$B$15,K50)</f>
        <v>3.29</v>
      </c>
      <c r="O50" s="17" t="n">
        <f aca="false">INDEX(Tide_table!$B$4:$B$15,K50+1)</f>
        <v>0.51</v>
      </c>
      <c r="P50" s="14" t="str">
        <f aca="false">INDEX(Tide_table!$C$4:$C$15,K50)</f>
        <v>HW</v>
      </c>
      <c r="Q50" s="14" t="str">
        <f aca="false">INDEX(Tide_table!$C$4:$C$15,K50+1)</f>
        <v>NW</v>
      </c>
      <c r="R50" s="17" t="n">
        <f aca="false">N50+(O50-N50)*(1-COS(PI()*(C50-L50)/(M50-L50)))/2</f>
        <v>2.74972942786271</v>
      </c>
      <c r="S50" s="16" t="n">
        <f aca="false">(C50-L50)*24</f>
        <v>1.96666666666667</v>
      </c>
      <c r="T50" s="16" t="n">
        <f aca="false">(M50-C50)*24</f>
        <v>4.8</v>
      </c>
      <c r="U50" s="14" t="str">
        <f aca="false">IF(MIN(S50,T50)&lt;=Tide_summary!$B$3,IF(IF(S50&lt;=T50,P50,Q50)="HW","High water","Low water"),IF(Q50="HW","Rising","Falling"))</f>
        <v>Falling</v>
      </c>
    </row>
    <row r="51" customFormat="false" ht="15" hidden="false" customHeight="false" outlineLevel="0" collapsed="false">
      <c r="A51" s="14" t="s">
        <v>4</v>
      </c>
      <c r="B51" s="14" t="s">
        <v>119</v>
      </c>
      <c r="C51" s="23" t="n">
        <f aca="false">DATE(VALUE(RIGHT(A51,4)),VALUE(MID(A51,4,2)),VALUE(LEFT(A51,2)))+TIMEVALUE(B51)</f>
        <v>46294.6895833333</v>
      </c>
      <c r="D51" s="14" t="n">
        <f aca="false">SUMIFS(Data!$D$2:$D$195,Data!$A$2:$A$195,$A51,Data!$B$2:$B$195,$B51)</f>
        <v>13</v>
      </c>
      <c r="E51" s="14" t="n">
        <f aca="false">SUMPRODUCT(--(COUNTIFS(Data!$A$2:$A$195,$A51,Data!$B$2:$B$195,$B51,Data!$C$2:$C$195,Abundance!$A$2:$A$20)&gt;0))</f>
        <v>2</v>
      </c>
      <c r="F51" s="14" t="n">
        <f aca="false">SUMIFS(Data!$D$2:$D$195,Data!$A$2:$A$195,$A51,Data!$B$2:$B$195,$B51,Data!$E$2:$E$195,"I")</f>
        <v>13</v>
      </c>
      <c r="G51" s="14" t="n">
        <f aca="false">SUMIFS(Data!$D$2:$D$195,Data!$A$2:$A$195,$A51,Data!$B$2:$B$195,$B51,Data!$E$2:$E$195,"F")</f>
        <v>0</v>
      </c>
      <c r="H51" s="14" t="n">
        <f aca="false">SUMIFS(Data!$D$2:$D$195,Data!$A$2:$A$195,$A51,Data!$B$2:$B$195,$B51,Data!$E$2:$E$195,"S")</f>
        <v>0</v>
      </c>
      <c r="I51" s="14" t="n">
        <f aca="false">SUMIFS(Data!$D$2:$D$195,Data!$A$2:$A$195,$A51,Data!$B$2:$B$195,$B51,Data!$E$2:$E$195,"W")</f>
        <v>0</v>
      </c>
      <c r="J51" s="15" t="n">
        <v>2</v>
      </c>
      <c r="K51" s="14" t="n">
        <f aca="false">MATCH(C51,Tide_table!$A$4:$A$15,1)</f>
        <v>7</v>
      </c>
      <c r="L51" s="23" t="n">
        <f aca="false">INDEX(Tide_table!$A$4:$A$15,K51)</f>
        <v>46294.5986111111</v>
      </c>
      <c r="M51" s="23" t="n">
        <f aca="false">INDEX(Tide_table!$A$4:$A$15,K51+1)</f>
        <v>46294.8805555556</v>
      </c>
      <c r="N51" s="17" t="n">
        <f aca="false">INDEX(Tide_table!$B$4:$B$15,K51)</f>
        <v>3.29</v>
      </c>
      <c r="O51" s="17" t="n">
        <f aca="false">INDEX(Tide_table!$B$4:$B$15,K51+1)</f>
        <v>0.51</v>
      </c>
      <c r="P51" s="14" t="str">
        <f aca="false">INDEX(Tide_table!$C$4:$C$15,K51)</f>
        <v>HW</v>
      </c>
      <c r="Q51" s="14" t="str">
        <f aca="false">INDEX(Tide_table!$C$4:$C$15,K51+1)</f>
        <v>NW</v>
      </c>
      <c r="R51" s="17" t="n">
        <f aca="false">N51+(O51-N51)*(1-COS(PI()*(C51-L51)/(M51-L51)))/2</f>
        <v>2.63496550751098</v>
      </c>
      <c r="S51" s="16" t="n">
        <f aca="false">(C51-L51)*24</f>
        <v>2.18333333333333</v>
      </c>
      <c r="T51" s="16" t="n">
        <f aca="false">(M51-C51)*24</f>
        <v>4.58333333333333</v>
      </c>
      <c r="U51" s="14" t="str">
        <f aca="false">IF(MIN(S51,T51)&lt;=Tide_summary!$B$3,IF(IF(S51&lt;=T51,P51,Q51)="HW","High water","Low water"),IF(Q51="HW","Rising","Falling"))</f>
        <v>Falling</v>
      </c>
    </row>
    <row r="52" customFormat="false" ht="15" hidden="false" customHeight="false" outlineLevel="0" collapsed="false">
      <c r="A52" s="14" t="s">
        <v>4</v>
      </c>
      <c r="B52" s="14" t="s">
        <v>108</v>
      </c>
      <c r="C52" s="23" t="n">
        <f aca="false">DATE(VALUE(RIGHT(A52,4)),VALUE(MID(A52,4,2)),VALUE(LEFT(A52,2)))+TIMEVALUE(B52)</f>
        <v>46294.6944444444</v>
      </c>
      <c r="D52" s="14" t="n">
        <f aca="false">SUMIFS(Data!$D$2:$D$195,Data!$A$2:$A$195,$A52,Data!$B$2:$B$195,$B52)</f>
        <v>2</v>
      </c>
      <c r="E52" s="14" t="n">
        <f aca="false">SUMPRODUCT(--(COUNTIFS(Data!$A$2:$A$195,$A52,Data!$B$2:$B$195,$B52,Data!$C$2:$C$195,Abundance!$A$2:$A$20)&gt;0))</f>
        <v>1</v>
      </c>
      <c r="F52" s="14" t="n">
        <f aca="false">SUMIFS(Data!$D$2:$D$195,Data!$A$2:$A$195,$A52,Data!$B$2:$B$195,$B52,Data!$E$2:$E$195,"I")</f>
        <v>0</v>
      </c>
      <c r="G52" s="14" t="n">
        <f aca="false">SUMIFS(Data!$D$2:$D$195,Data!$A$2:$A$195,$A52,Data!$B$2:$B$195,$B52,Data!$E$2:$E$195,"F")</f>
        <v>0</v>
      </c>
      <c r="H52" s="14" t="n">
        <f aca="false">SUMIFS(Data!$D$2:$D$195,Data!$A$2:$A$195,$A52,Data!$B$2:$B$195,$B52,Data!$E$2:$E$195,"S")</f>
        <v>2</v>
      </c>
      <c r="I52" s="14" t="n">
        <f aca="false">SUMIFS(Data!$D$2:$D$195,Data!$A$2:$A$195,$A52,Data!$B$2:$B$195,$B52,Data!$E$2:$E$195,"W")</f>
        <v>0</v>
      </c>
      <c r="J52" s="15" t="n">
        <v>4</v>
      </c>
      <c r="K52" s="14" t="n">
        <f aca="false">MATCH(C52,Tide_table!$A$4:$A$15,1)</f>
        <v>7</v>
      </c>
      <c r="L52" s="23" t="n">
        <f aca="false">INDEX(Tide_table!$A$4:$A$15,K52)</f>
        <v>46294.5986111111</v>
      </c>
      <c r="M52" s="23" t="n">
        <f aca="false">INDEX(Tide_table!$A$4:$A$15,K52+1)</f>
        <v>46294.8805555556</v>
      </c>
      <c r="N52" s="17" t="n">
        <f aca="false">INDEX(Tide_table!$B$4:$B$15,K52)</f>
        <v>3.29</v>
      </c>
      <c r="O52" s="17" t="n">
        <f aca="false">INDEX(Tide_table!$B$4:$B$15,K52+1)</f>
        <v>0.51</v>
      </c>
      <c r="P52" s="14" t="str">
        <f aca="false">INDEX(Tide_table!$C$4:$C$15,K52)</f>
        <v>HW</v>
      </c>
      <c r="Q52" s="14" t="str">
        <f aca="false">INDEX(Tide_table!$C$4:$C$15,K52+1)</f>
        <v>NW</v>
      </c>
      <c r="R52" s="17" t="n">
        <f aca="false">N52+(O52-N52)*(1-COS(PI()*(C52-L52)/(M52-L52)))/2</f>
        <v>2.57001458655438</v>
      </c>
      <c r="S52" s="16" t="n">
        <f aca="false">(C52-L52)*24</f>
        <v>2.3</v>
      </c>
      <c r="T52" s="16" t="n">
        <f aca="false">(M52-C52)*24</f>
        <v>4.46666666666667</v>
      </c>
      <c r="U52" s="14" t="str">
        <f aca="false">IF(MIN(S52,T52)&lt;=Tide_summary!$B$3,IF(IF(S52&lt;=T52,P52,Q52)="HW","High water","Low water"),IF(Q52="HW","Rising","Falling"))</f>
        <v>Falling</v>
      </c>
    </row>
    <row r="53" customFormat="false" ht="15" hidden="false" customHeight="false" outlineLevel="0" collapsed="false">
      <c r="A53" s="14" t="s">
        <v>4</v>
      </c>
      <c r="B53" s="14" t="s">
        <v>120</v>
      </c>
      <c r="C53" s="23" t="n">
        <f aca="false">DATE(VALUE(RIGHT(A53,4)),VALUE(MID(A53,4,2)),VALUE(LEFT(A53,2)))+TIMEVALUE(B53)</f>
        <v>46294.7083333333</v>
      </c>
      <c r="D53" s="14" t="n">
        <f aca="false">SUMIFS(Data!$D$2:$D$195,Data!$A$2:$A$195,$A53,Data!$B$2:$B$195,$B53)</f>
        <v>3</v>
      </c>
      <c r="E53" s="14" t="n">
        <f aca="false">SUMPRODUCT(--(COUNTIFS(Data!$A$2:$A$195,$A53,Data!$B$2:$B$195,$B53,Data!$C$2:$C$195,Abundance!$A$2:$A$20)&gt;0))</f>
        <v>2</v>
      </c>
      <c r="F53" s="14" t="n">
        <f aca="false">SUMIFS(Data!$D$2:$D$195,Data!$A$2:$A$195,$A53,Data!$B$2:$B$195,$B53,Data!$E$2:$E$195,"I")</f>
        <v>0</v>
      </c>
      <c r="G53" s="14" t="n">
        <f aca="false">SUMIFS(Data!$D$2:$D$195,Data!$A$2:$A$195,$A53,Data!$B$2:$B$195,$B53,Data!$E$2:$E$195,"F")</f>
        <v>0</v>
      </c>
      <c r="H53" s="14" t="n">
        <f aca="false">SUMIFS(Data!$D$2:$D$195,Data!$A$2:$A$195,$A53,Data!$B$2:$B$195,$B53,Data!$E$2:$E$195,"S")</f>
        <v>3</v>
      </c>
      <c r="I53" s="14" t="n">
        <f aca="false">SUMIFS(Data!$D$2:$D$195,Data!$A$2:$A$195,$A53,Data!$B$2:$B$195,$B53,Data!$E$2:$E$195,"W")</f>
        <v>0</v>
      </c>
      <c r="J53" s="15" t="n">
        <v>5</v>
      </c>
      <c r="K53" s="14" t="n">
        <f aca="false">MATCH(C53,Tide_table!$A$4:$A$15,1)</f>
        <v>7</v>
      </c>
      <c r="L53" s="23" t="n">
        <f aca="false">INDEX(Tide_table!$A$4:$A$15,K53)</f>
        <v>46294.5986111111</v>
      </c>
      <c r="M53" s="23" t="n">
        <f aca="false">INDEX(Tide_table!$A$4:$A$15,K53+1)</f>
        <v>46294.8805555556</v>
      </c>
      <c r="N53" s="17" t="n">
        <f aca="false">INDEX(Tide_table!$B$4:$B$15,K53)</f>
        <v>3.29</v>
      </c>
      <c r="O53" s="17" t="n">
        <f aca="false">INDEX(Tide_table!$B$4:$B$15,K53+1)</f>
        <v>0.51</v>
      </c>
      <c r="P53" s="14" t="str">
        <f aca="false">INDEX(Tide_table!$C$4:$C$15,K53)</f>
        <v>HW</v>
      </c>
      <c r="Q53" s="14" t="str">
        <f aca="false">INDEX(Tide_table!$C$4:$C$15,K53+1)</f>
        <v>NW</v>
      </c>
      <c r="R53" s="17" t="n">
        <f aca="false">N53+(O53-N53)*(1-COS(PI()*(C53-L53)/(M53-L53)))/2</f>
        <v>2.37428481798675</v>
      </c>
      <c r="S53" s="16" t="n">
        <f aca="false">(C53-L53)*24</f>
        <v>2.63333333333333</v>
      </c>
      <c r="T53" s="16" t="n">
        <f aca="false">(M53-C53)*24</f>
        <v>4.13333333333333</v>
      </c>
      <c r="U53" s="14" t="str">
        <f aca="false">IF(MIN(S53,T53)&lt;=Tide_summary!$B$3,IF(IF(S53&lt;=T53,P53,Q53)="HW","High water","Low water"),IF(Q53="HW","Rising","Falling"))</f>
        <v>Falling</v>
      </c>
    </row>
    <row r="54" customFormat="false" ht="15" hidden="false" customHeight="false" outlineLevel="0" collapsed="false">
      <c r="A54" s="14" t="s">
        <v>4</v>
      </c>
      <c r="B54" s="14" t="s">
        <v>121</v>
      </c>
      <c r="C54" s="23" t="n">
        <f aca="false">DATE(VALUE(RIGHT(A54,4)),VALUE(MID(A54,4,2)),VALUE(LEFT(A54,2)))+TIMEVALUE(B54)</f>
        <v>46294.7222222222</v>
      </c>
      <c r="D54" s="14" t="n">
        <f aca="false">SUMIFS(Data!$D$2:$D$195,Data!$A$2:$A$195,$A54,Data!$B$2:$B$195,$B54)</f>
        <v>67</v>
      </c>
      <c r="E54" s="14" t="n">
        <f aca="false">SUMPRODUCT(--(COUNTIFS(Data!$A$2:$A$195,$A54,Data!$B$2:$B$195,$B54,Data!$C$2:$C$195,Abundance!$A$2:$A$20)&gt;0))</f>
        <v>5</v>
      </c>
      <c r="F54" s="14" t="n">
        <f aca="false">SUMIFS(Data!$D$2:$D$195,Data!$A$2:$A$195,$A54,Data!$B$2:$B$195,$B54,Data!$E$2:$E$195,"I")</f>
        <v>51</v>
      </c>
      <c r="G54" s="14" t="n">
        <f aca="false">SUMIFS(Data!$D$2:$D$195,Data!$A$2:$A$195,$A54,Data!$B$2:$B$195,$B54,Data!$E$2:$E$195,"F")</f>
        <v>0</v>
      </c>
      <c r="H54" s="14" t="n">
        <f aca="false">SUMIFS(Data!$D$2:$D$195,Data!$A$2:$A$195,$A54,Data!$B$2:$B$195,$B54,Data!$E$2:$E$195,"S")</f>
        <v>16</v>
      </c>
      <c r="I54" s="14" t="n">
        <f aca="false">SUMIFS(Data!$D$2:$D$195,Data!$A$2:$A$195,$A54,Data!$B$2:$B$195,$B54,Data!$E$2:$E$195,"W")</f>
        <v>0</v>
      </c>
      <c r="J54" s="15" t="n">
        <v>0</v>
      </c>
      <c r="K54" s="14" t="n">
        <f aca="false">MATCH(C54,Tide_table!$A$4:$A$15,1)</f>
        <v>7</v>
      </c>
      <c r="L54" s="23" t="n">
        <f aca="false">INDEX(Tide_table!$A$4:$A$15,K54)</f>
        <v>46294.5986111111</v>
      </c>
      <c r="M54" s="23" t="n">
        <f aca="false">INDEX(Tide_table!$A$4:$A$15,K54+1)</f>
        <v>46294.8805555556</v>
      </c>
      <c r="N54" s="17" t="n">
        <f aca="false">INDEX(Tide_table!$B$4:$B$15,K54)</f>
        <v>3.29</v>
      </c>
      <c r="O54" s="17" t="n">
        <f aca="false">INDEX(Tide_table!$B$4:$B$15,K54+1)</f>
        <v>0.51</v>
      </c>
      <c r="P54" s="14" t="str">
        <f aca="false">INDEX(Tide_table!$C$4:$C$15,K54)</f>
        <v>HW</v>
      </c>
      <c r="Q54" s="14" t="str">
        <f aca="false">INDEX(Tide_table!$C$4:$C$15,K54+1)</f>
        <v>NW</v>
      </c>
      <c r="R54" s="17" t="n">
        <f aca="false">N54+(O54-N54)*(1-COS(PI()*(C54-L54)/(M54-L54)))/2</f>
        <v>2.16721852479313</v>
      </c>
      <c r="S54" s="16" t="n">
        <f aca="false">(C54-L54)*24</f>
        <v>2.96666666666667</v>
      </c>
      <c r="T54" s="16" t="n">
        <f aca="false">(M54-C54)*24</f>
        <v>3.8</v>
      </c>
      <c r="U54" s="14" t="str">
        <f aca="false">IF(MIN(S54,T54)&lt;=Tide_summary!$B$3,IF(IF(S54&lt;=T54,P54,Q54)="HW","High water","Low water"),IF(Q54="HW","Rising","Falling"))</f>
        <v>Falling</v>
      </c>
    </row>
    <row r="55" customFormat="false" ht="15" hidden="false" customHeight="false" outlineLevel="0" collapsed="false">
      <c r="A55" s="14" t="s">
        <v>4</v>
      </c>
      <c r="B55" s="14" t="s">
        <v>122</v>
      </c>
      <c r="C55" s="23" t="n">
        <f aca="false">DATE(VALUE(RIGHT(A55,4)),VALUE(MID(A55,4,2)),VALUE(LEFT(A55,2)))+TIMEVALUE(B55)</f>
        <v>46294.7291666667</v>
      </c>
      <c r="D55" s="14" t="n">
        <f aca="false">SUMIFS(Data!$D$2:$D$195,Data!$A$2:$A$195,$A55,Data!$B$2:$B$195,$B55)</f>
        <v>18</v>
      </c>
      <c r="E55" s="14" t="n">
        <f aca="false">SUMPRODUCT(--(COUNTIFS(Data!$A$2:$A$195,$A55,Data!$B$2:$B$195,$B55,Data!$C$2:$C$195,Abundance!$A$2:$A$20)&gt;0))</f>
        <v>1</v>
      </c>
      <c r="F55" s="14" t="n">
        <f aca="false">SUMIFS(Data!$D$2:$D$195,Data!$A$2:$A$195,$A55,Data!$B$2:$B$195,$B55,Data!$E$2:$E$195,"I")</f>
        <v>18</v>
      </c>
      <c r="G55" s="14" t="n">
        <f aca="false">SUMIFS(Data!$D$2:$D$195,Data!$A$2:$A$195,$A55,Data!$B$2:$B$195,$B55,Data!$E$2:$E$195,"F")</f>
        <v>0</v>
      </c>
      <c r="H55" s="14" t="n">
        <f aca="false">SUMIFS(Data!$D$2:$D$195,Data!$A$2:$A$195,$A55,Data!$B$2:$B$195,$B55,Data!$E$2:$E$195,"S")</f>
        <v>0</v>
      </c>
      <c r="I55" s="14" t="n">
        <f aca="false">SUMIFS(Data!$D$2:$D$195,Data!$A$2:$A$195,$A55,Data!$B$2:$B$195,$B55,Data!$E$2:$E$195,"W")</f>
        <v>0</v>
      </c>
      <c r="J55" s="15" t="n">
        <v>1</v>
      </c>
      <c r="K55" s="14" t="n">
        <f aca="false">MATCH(C55,Tide_table!$A$4:$A$15,1)</f>
        <v>7</v>
      </c>
      <c r="L55" s="23" t="n">
        <f aca="false">INDEX(Tide_table!$A$4:$A$15,K55)</f>
        <v>46294.5986111111</v>
      </c>
      <c r="M55" s="23" t="n">
        <f aca="false">INDEX(Tide_table!$A$4:$A$15,K55+1)</f>
        <v>46294.8805555556</v>
      </c>
      <c r="N55" s="17" t="n">
        <f aca="false">INDEX(Tide_table!$B$4:$B$15,K55)</f>
        <v>3.29</v>
      </c>
      <c r="O55" s="17" t="n">
        <f aca="false">INDEX(Tide_table!$B$4:$B$15,K55+1)</f>
        <v>0.51</v>
      </c>
      <c r="P55" s="14" t="str">
        <f aca="false">INDEX(Tide_table!$C$4:$C$15,K55)</f>
        <v>HW</v>
      </c>
      <c r="Q55" s="14" t="str">
        <f aca="false">INDEX(Tide_table!$C$4:$C$15,K55+1)</f>
        <v>NW</v>
      </c>
      <c r="R55" s="17" t="n">
        <f aca="false">N55+(O55-N55)*(1-COS(PI()*(C55-L55)/(M55-L55)))/2</f>
        <v>2.06097347835341</v>
      </c>
      <c r="S55" s="16" t="n">
        <f aca="false">(C55-L55)*24</f>
        <v>3.13333333333333</v>
      </c>
      <c r="T55" s="16" t="n">
        <f aca="false">(M55-C55)*24</f>
        <v>3.63333333333333</v>
      </c>
      <c r="U55" s="14" t="str">
        <f aca="false">IF(MIN(S55,T55)&lt;=Tide_summary!$B$3,IF(IF(S55&lt;=T55,P55,Q55)="HW","High water","Low water"),IF(Q55="HW","Rising","Falling"))</f>
        <v>Falling</v>
      </c>
    </row>
    <row r="56" customFormat="false" ht="15" hidden="false" customHeight="false" outlineLevel="0" collapsed="false">
      <c r="A56" s="14" t="s">
        <v>4</v>
      </c>
      <c r="B56" s="14" t="s">
        <v>123</v>
      </c>
      <c r="C56" s="23" t="n">
        <f aca="false">DATE(VALUE(RIGHT(A56,4)),VALUE(MID(A56,4,2)),VALUE(LEFT(A56,2)))+TIMEVALUE(B56)</f>
        <v>46294.7361111111</v>
      </c>
      <c r="D56" s="14" t="n">
        <f aca="false">SUMIFS(Data!$D$2:$D$195,Data!$A$2:$A$195,$A56,Data!$B$2:$B$195,$B56)</f>
        <v>19</v>
      </c>
      <c r="E56" s="14" t="n">
        <f aca="false">SUMPRODUCT(--(COUNTIFS(Data!$A$2:$A$195,$A56,Data!$B$2:$B$195,$B56,Data!$C$2:$C$195,Abundance!$A$2:$A$20)&gt;0))</f>
        <v>2</v>
      </c>
      <c r="F56" s="14" t="n">
        <f aca="false">SUMIFS(Data!$D$2:$D$195,Data!$A$2:$A$195,$A56,Data!$B$2:$B$195,$B56,Data!$E$2:$E$195,"I")</f>
        <v>0</v>
      </c>
      <c r="G56" s="14" t="n">
        <f aca="false">SUMIFS(Data!$D$2:$D$195,Data!$A$2:$A$195,$A56,Data!$B$2:$B$195,$B56,Data!$E$2:$E$195,"F")</f>
        <v>17</v>
      </c>
      <c r="H56" s="14" t="n">
        <f aca="false">SUMIFS(Data!$D$2:$D$195,Data!$A$2:$A$195,$A56,Data!$B$2:$B$195,$B56,Data!$E$2:$E$195,"S")</f>
        <v>2</v>
      </c>
      <c r="I56" s="14" t="n">
        <f aca="false">SUMIFS(Data!$D$2:$D$195,Data!$A$2:$A$195,$A56,Data!$B$2:$B$195,$B56,Data!$E$2:$E$195,"W")</f>
        <v>0</v>
      </c>
      <c r="J56" s="15" t="n">
        <v>1</v>
      </c>
      <c r="K56" s="14" t="n">
        <f aca="false">MATCH(C56,Tide_table!$A$4:$A$15,1)</f>
        <v>7</v>
      </c>
      <c r="L56" s="23" t="n">
        <f aca="false">INDEX(Tide_table!$A$4:$A$15,K56)</f>
        <v>46294.5986111111</v>
      </c>
      <c r="M56" s="23" t="n">
        <f aca="false">INDEX(Tide_table!$A$4:$A$15,K56+1)</f>
        <v>46294.8805555556</v>
      </c>
      <c r="N56" s="17" t="n">
        <f aca="false">INDEX(Tide_table!$B$4:$B$15,K56)</f>
        <v>3.29</v>
      </c>
      <c r="O56" s="17" t="n">
        <f aca="false">INDEX(Tide_table!$B$4:$B$15,K56+1)</f>
        <v>0.51</v>
      </c>
      <c r="P56" s="14" t="str">
        <f aca="false">INDEX(Tide_table!$C$4:$C$15,K56)</f>
        <v>HW</v>
      </c>
      <c r="Q56" s="14" t="str">
        <f aca="false">INDEX(Tide_table!$C$4:$C$15,K56+1)</f>
        <v>NW</v>
      </c>
      <c r="R56" s="17" t="n">
        <f aca="false">N56+(O56-N56)*(1-COS(PI()*(C56-L56)/(M56-L56)))/2</f>
        <v>1.95376507925569</v>
      </c>
      <c r="S56" s="16" t="n">
        <f aca="false">(C56-L56)*24</f>
        <v>3.3</v>
      </c>
      <c r="T56" s="16" t="n">
        <f aca="false">(M56-C56)*24</f>
        <v>3.46666666666667</v>
      </c>
      <c r="U56" s="14" t="str">
        <f aca="false">IF(MIN(S56,T56)&lt;=Tide_summary!$B$3,IF(IF(S56&lt;=T56,P56,Q56)="HW","High water","Low water"),IF(Q56="HW","Rising","Falling"))</f>
        <v>Falling</v>
      </c>
    </row>
    <row r="57" customFormat="false" ht="15" hidden="false" customHeight="false" outlineLevel="0" collapsed="false">
      <c r="A57" s="14" t="s">
        <v>5</v>
      </c>
      <c r="B57" s="14" t="s">
        <v>103</v>
      </c>
      <c r="C57" s="23" t="n">
        <f aca="false">DATE(VALUE(RIGHT(A57,4)),VALUE(MID(A57,4,2)),VALUE(LEFT(A57,2)))+TIMEVALUE(B57)</f>
        <v>46295.5833333333</v>
      </c>
      <c r="D57" s="14" t="n">
        <f aca="false">SUMIFS(Data!$D$2:$D$195,Data!$A$2:$A$195,$A57,Data!$B$2:$B$195,$B57)</f>
        <v>9</v>
      </c>
      <c r="E57" s="14" t="n">
        <f aca="false">SUMPRODUCT(--(COUNTIFS(Data!$A$2:$A$195,$A57,Data!$B$2:$B$195,$B57,Data!$C$2:$C$195,Abundance!$A$2:$A$20)&gt;0))</f>
        <v>3</v>
      </c>
      <c r="F57" s="14" t="n">
        <f aca="false">SUMIFS(Data!$D$2:$D$195,Data!$A$2:$A$195,$A57,Data!$B$2:$B$195,$B57,Data!$E$2:$E$195,"I")</f>
        <v>8</v>
      </c>
      <c r="G57" s="14" t="n">
        <f aca="false">SUMIFS(Data!$D$2:$D$195,Data!$A$2:$A$195,$A57,Data!$B$2:$B$195,$B57,Data!$E$2:$E$195,"F")</f>
        <v>1</v>
      </c>
      <c r="H57" s="14" t="n">
        <f aca="false">SUMIFS(Data!$D$2:$D$195,Data!$A$2:$A$195,$A57,Data!$B$2:$B$195,$B57,Data!$E$2:$E$195,"S")</f>
        <v>0</v>
      </c>
      <c r="I57" s="14" t="n">
        <f aca="false">SUMIFS(Data!$D$2:$D$195,Data!$A$2:$A$195,$A57,Data!$B$2:$B$195,$B57,Data!$E$2:$E$195,"W")</f>
        <v>0</v>
      </c>
      <c r="J57" s="15" t="n">
        <v>2</v>
      </c>
      <c r="K57" s="14" t="n">
        <f aca="false">MATCH(C57,Tide_table!$A$4:$A$15,1)</f>
        <v>10</v>
      </c>
      <c r="L57" s="23" t="n">
        <f aca="false">INDEX(Tide_table!$A$4:$A$15,K57)</f>
        <v>46295.3909722222</v>
      </c>
      <c r="M57" s="23" t="n">
        <f aca="false">INDEX(Tide_table!$A$4:$A$15,K57+1)</f>
        <v>46295.6229166667</v>
      </c>
      <c r="N57" s="17" t="n">
        <f aca="false">INDEX(Tide_table!$B$4:$B$15,K57)</f>
        <v>0.43</v>
      </c>
      <c r="O57" s="17" t="n">
        <f aca="false">INDEX(Tide_table!$B$4:$B$15,K57+1)</f>
        <v>3.24</v>
      </c>
      <c r="P57" s="14" t="str">
        <f aca="false">INDEX(Tide_table!$C$4:$C$15,K57)</f>
        <v>NW</v>
      </c>
      <c r="Q57" s="14" t="str">
        <f aca="false">INDEX(Tide_table!$C$4:$C$15,K57+1)</f>
        <v>HW</v>
      </c>
      <c r="R57" s="17" t="n">
        <f aca="false">N57+(O57-N57)*(1-COS(PI()*(C57-L57)/(M57-L57)))/2</f>
        <v>3.04285998084432</v>
      </c>
      <c r="S57" s="16" t="n">
        <f aca="false">(C57-L57)*24</f>
        <v>4.61666666666667</v>
      </c>
      <c r="T57" s="16" t="n">
        <f aca="false">(M57-C57)*24</f>
        <v>0.95</v>
      </c>
      <c r="U57" s="14" t="str">
        <f aca="false">IF(MIN(S57,T57)&lt;=Tide_summary!$B$3,IF(IF(S57&lt;=T57,P57,Q57)="HW","High water","Low water"),IF(Q57="HW","Rising","Falling"))</f>
        <v>High water</v>
      </c>
    </row>
    <row r="58" customFormat="false" ht="15" hidden="false" customHeight="false" outlineLevel="0" collapsed="false">
      <c r="A58" s="14" t="s">
        <v>5</v>
      </c>
      <c r="B58" s="14" t="s">
        <v>124</v>
      </c>
      <c r="C58" s="23" t="n">
        <f aca="false">DATE(VALUE(RIGHT(A58,4)),VALUE(MID(A58,4,2)),VALUE(LEFT(A58,2)))+TIMEVALUE(B58)</f>
        <v>46295.5972222222</v>
      </c>
      <c r="D58" s="14" t="n">
        <f aca="false">SUMIFS(Data!$D$2:$D$195,Data!$A$2:$A$195,$A58,Data!$B$2:$B$195,$B58)</f>
        <v>2</v>
      </c>
      <c r="E58" s="14" t="n">
        <f aca="false">SUMPRODUCT(--(COUNTIFS(Data!$A$2:$A$195,$A58,Data!$B$2:$B$195,$B58,Data!$C$2:$C$195,Abundance!$A$2:$A$20)&gt;0))</f>
        <v>1</v>
      </c>
      <c r="F58" s="14" t="n">
        <f aca="false">SUMIFS(Data!$D$2:$D$195,Data!$A$2:$A$195,$A58,Data!$B$2:$B$195,$B58,Data!$E$2:$E$195,"I")</f>
        <v>2</v>
      </c>
      <c r="G58" s="14" t="n">
        <f aca="false">SUMIFS(Data!$D$2:$D$195,Data!$A$2:$A$195,$A58,Data!$B$2:$B$195,$B58,Data!$E$2:$E$195,"F")</f>
        <v>0</v>
      </c>
      <c r="H58" s="14" t="n">
        <f aca="false">SUMIFS(Data!$D$2:$D$195,Data!$A$2:$A$195,$A58,Data!$B$2:$B$195,$B58,Data!$E$2:$E$195,"S")</f>
        <v>0</v>
      </c>
      <c r="I58" s="14" t="n">
        <f aca="false">SUMIFS(Data!$D$2:$D$195,Data!$A$2:$A$195,$A58,Data!$B$2:$B$195,$B58,Data!$E$2:$E$195,"W")</f>
        <v>0</v>
      </c>
      <c r="J58" s="15" t="n">
        <v>3</v>
      </c>
      <c r="K58" s="14" t="n">
        <f aca="false">MATCH(C58,Tide_table!$A$4:$A$15,1)</f>
        <v>10</v>
      </c>
      <c r="L58" s="23" t="n">
        <f aca="false">INDEX(Tide_table!$A$4:$A$15,K58)</f>
        <v>46295.3909722222</v>
      </c>
      <c r="M58" s="23" t="n">
        <f aca="false">INDEX(Tide_table!$A$4:$A$15,K58+1)</f>
        <v>46295.6229166667</v>
      </c>
      <c r="N58" s="17" t="n">
        <f aca="false">INDEX(Tide_table!$B$4:$B$15,K58)</f>
        <v>0.43</v>
      </c>
      <c r="O58" s="17" t="n">
        <f aca="false">INDEX(Tide_table!$B$4:$B$15,K58+1)</f>
        <v>3.24</v>
      </c>
      <c r="P58" s="14" t="str">
        <f aca="false">INDEX(Tide_table!$C$4:$C$15,K58)</f>
        <v>NW</v>
      </c>
      <c r="Q58" s="14" t="str">
        <f aca="false">INDEX(Tide_table!$C$4:$C$15,K58+1)</f>
        <v>HW</v>
      </c>
      <c r="R58" s="17" t="n">
        <f aca="false">N58+(O58-N58)*(1-COS(PI()*(C58-L58)/(M58-L58)))/2</f>
        <v>3.15576962518609</v>
      </c>
      <c r="S58" s="16" t="n">
        <f aca="false">(C58-L58)*24</f>
        <v>4.95</v>
      </c>
      <c r="T58" s="16" t="n">
        <f aca="false">(M58-C58)*24</f>
        <v>0.616666666666667</v>
      </c>
      <c r="U58" s="14" t="str">
        <f aca="false">IF(MIN(S58,T58)&lt;=Tide_summary!$B$3,IF(IF(S58&lt;=T58,P58,Q58)="HW","High water","Low water"),IF(Q58="HW","Rising","Falling"))</f>
        <v>High water</v>
      </c>
    </row>
    <row r="59" customFormat="false" ht="15" hidden="false" customHeight="false" outlineLevel="0" collapsed="false">
      <c r="A59" s="14" t="s">
        <v>5</v>
      </c>
      <c r="B59" s="14" t="s">
        <v>116</v>
      </c>
      <c r="C59" s="23" t="n">
        <f aca="false">DATE(VALUE(RIGHT(A59,4)),VALUE(MID(A59,4,2)),VALUE(LEFT(A59,2)))+TIMEVALUE(B59)</f>
        <v>46295.6111111111</v>
      </c>
      <c r="D59" s="14" t="n">
        <f aca="false">SUMIFS(Data!$D$2:$D$195,Data!$A$2:$A$195,$A59,Data!$B$2:$B$195,$B59)</f>
        <v>2</v>
      </c>
      <c r="E59" s="14" t="n">
        <f aca="false">SUMPRODUCT(--(COUNTIFS(Data!$A$2:$A$195,$A59,Data!$B$2:$B$195,$B59,Data!$C$2:$C$195,Abundance!$A$2:$A$20)&gt;0))</f>
        <v>2</v>
      </c>
      <c r="F59" s="14" t="n">
        <f aca="false">SUMIFS(Data!$D$2:$D$195,Data!$A$2:$A$195,$A59,Data!$B$2:$B$195,$B59,Data!$E$2:$E$195,"I")</f>
        <v>2</v>
      </c>
      <c r="G59" s="14" t="n">
        <f aca="false">SUMIFS(Data!$D$2:$D$195,Data!$A$2:$A$195,$A59,Data!$B$2:$B$195,$B59,Data!$E$2:$E$195,"F")</f>
        <v>0</v>
      </c>
      <c r="H59" s="14" t="n">
        <f aca="false">SUMIFS(Data!$D$2:$D$195,Data!$A$2:$A$195,$A59,Data!$B$2:$B$195,$B59,Data!$E$2:$E$195,"S")</f>
        <v>0</v>
      </c>
      <c r="I59" s="14" t="n">
        <f aca="false">SUMIFS(Data!$D$2:$D$195,Data!$A$2:$A$195,$A59,Data!$B$2:$B$195,$B59,Data!$E$2:$E$195,"W")</f>
        <v>0</v>
      </c>
      <c r="J59" s="15" t="n">
        <v>3</v>
      </c>
      <c r="K59" s="14" t="n">
        <f aca="false">MATCH(C59,Tide_table!$A$4:$A$15,1)</f>
        <v>10</v>
      </c>
      <c r="L59" s="23" t="n">
        <f aca="false">INDEX(Tide_table!$A$4:$A$15,K59)</f>
        <v>46295.3909722222</v>
      </c>
      <c r="M59" s="23" t="n">
        <f aca="false">INDEX(Tide_table!$A$4:$A$15,K59+1)</f>
        <v>46295.6229166667</v>
      </c>
      <c r="N59" s="17" t="n">
        <f aca="false">INDEX(Tide_table!$B$4:$B$15,K59)</f>
        <v>0.43</v>
      </c>
      <c r="O59" s="17" t="n">
        <f aca="false">INDEX(Tide_table!$B$4:$B$15,K59+1)</f>
        <v>3.24</v>
      </c>
      <c r="P59" s="14" t="str">
        <f aca="false">INDEX(Tide_table!$C$4:$C$15,K59)</f>
        <v>NW</v>
      </c>
      <c r="Q59" s="14" t="str">
        <f aca="false">INDEX(Tide_table!$C$4:$C$15,K59+1)</f>
        <v>HW</v>
      </c>
      <c r="R59" s="17" t="n">
        <f aca="false">N59+(O59-N59)*(1-COS(PI()*(C59-L59)/(M59-L59)))/2</f>
        <v>3.22207639219869</v>
      </c>
      <c r="S59" s="16" t="n">
        <f aca="false">(C59-L59)*24</f>
        <v>5.28333333333333</v>
      </c>
      <c r="T59" s="16" t="n">
        <f aca="false">(M59-C59)*24</f>
        <v>0.283333333333333</v>
      </c>
      <c r="U59" s="14" t="str">
        <f aca="false">IF(MIN(S59,T59)&lt;=Tide_summary!$B$3,IF(IF(S59&lt;=T59,P59,Q59)="HW","High water","Low water"),IF(Q59="HW","Rising","Falling"))</f>
        <v>High water</v>
      </c>
    </row>
    <row r="60" customFormat="false" ht="15" hidden="false" customHeight="false" outlineLevel="0" collapsed="false">
      <c r="A60" s="14" t="s">
        <v>5</v>
      </c>
      <c r="B60" s="14" t="s">
        <v>105</v>
      </c>
      <c r="C60" s="23" t="n">
        <f aca="false">DATE(VALUE(RIGHT(A60,4)),VALUE(MID(A60,4,2)),VALUE(LEFT(A60,2)))+TIMEVALUE(B60)</f>
        <v>46295.625</v>
      </c>
      <c r="D60" s="14" t="n">
        <f aca="false">SUMIFS(Data!$D$2:$D$195,Data!$A$2:$A$195,$A60,Data!$B$2:$B$195,$B60)</f>
        <v>2</v>
      </c>
      <c r="E60" s="14" t="n">
        <f aca="false">SUMPRODUCT(--(COUNTIFS(Data!$A$2:$A$195,$A60,Data!$B$2:$B$195,$B60,Data!$C$2:$C$195,Abundance!$A$2:$A$20)&gt;0))</f>
        <v>2</v>
      </c>
      <c r="F60" s="14" t="n">
        <f aca="false">SUMIFS(Data!$D$2:$D$195,Data!$A$2:$A$195,$A60,Data!$B$2:$B$195,$B60,Data!$E$2:$E$195,"I")</f>
        <v>2</v>
      </c>
      <c r="G60" s="14" t="n">
        <f aca="false">SUMIFS(Data!$D$2:$D$195,Data!$A$2:$A$195,$A60,Data!$B$2:$B$195,$B60,Data!$E$2:$E$195,"F")</f>
        <v>0</v>
      </c>
      <c r="H60" s="14" t="n">
        <f aca="false">SUMIFS(Data!$D$2:$D$195,Data!$A$2:$A$195,$A60,Data!$B$2:$B$195,$B60,Data!$E$2:$E$195,"S")</f>
        <v>0</v>
      </c>
      <c r="I60" s="14" t="n">
        <f aca="false">SUMIFS(Data!$D$2:$D$195,Data!$A$2:$A$195,$A60,Data!$B$2:$B$195,$B60,Data!$E$2:$E$195,"W")</f>
        <v>0</v>
      </c>
      <c r="J60" s="15" t="n">
        <v>8</v>
      </c>
      <c r="K60" s="14" t="n">
        <f aca="false">MATCH(C60,Tide_table!$A$4:$A$15,1)</f>
        <v>11</v>
      </c>
      <c r="L60" s="23" t="n">
        <f aca="false">INDEX(Tide_table!$A$4:$A$15,K60)</f>
        <v>46295.6229166667</v>
      </c>
      <c r="M60" s="23" t="n">
        <f aca="false">INDEX(Tide_table!$A$4:$A$15,K60+1)</f>
        <v>46295.9034722222</v>
      </c>
      <c r="N60" s="17" t="n">
        <f aca="false">INDEX(Tide_table!$B$4:$B$15,K60)</f>
        <v>3.24</v>
      </c>
      <c r="O60" s="17" t="n">
        <f aca="false">INDEX(Tide_table!$B$4:$B$15,K60+1)</f>
        <v>0.54</v>
      </c>
      <c r="P60" s="14" t="str">
        <f aca="false">INDEX(Tide_table!$C$4:$C$15,K60)</f>
        <v>HW</v>
      </c>
      <c r="Q60" s="14" t="str">
        <f aca="false">INDEX(Tide_table!$C$4:$C$15,K60+1)</f>
        <v>NW</v>
      </c>
      <c r="R60" s="17" t="n">
        <f aca="false">N60+(O60-N60)*(1-COS(PI()*(C60-L60)/(M60-L60)))/2</f>
        <v>3.23963266390816</v>
      </c>
      <c r="S60" s="16" t="n">
        <f aca="false">(C60-L60)*24</f>
        <v>0.05</v>
      </c>
      <c r="T60" s="16" t="n">
        <f aca="false">(M60-C60)*24</f>
        <v>6.68333333333333</v>
      </c>
      <c r="U60" s="14" t="str">
        <f aca="false">IF(MIN(S60,T60)&lt;=Tide_summary!$B$3,IF(IF(S60&lt;=T60,P60,Q60)="HW","High water","Low water"),IF(Q60="HW","Rising","Falling"))</f>
        <v>High water</v>
      </c>
    </row>
    <row r="61" customFormat="false" ht="15" hidden="false" customHeight="false" outlineLevel="0" collapsed="false">
      <c r="A61" s="14" t="s">
        <v>5</v>
      </c>
      <c r="B61" s="14" t="s">
        <v>125</v>
      </c>
      <c r="C61" s="23" t="n">
        <f aca="false">DATE(VALUE(RIGHT(A61,4)),VALUE(MID(A61,4,2)),VALUE(LEFT(A61,2)))+TIMEVALUE(B61)</f>
        <v>46295.6388888889</v>
      </c>
      <c r="D61" s="14" t="n">
        <f aca="false">SUMIFS(Data!$D$2:$D$195,Data!$A$2:$A$195,$A61,Data!$B$2:$B$195,$B61)</f>
        <v>9</v>
      </c>
      <c r="E61" s="14" t="n">
        <f aca="false">SUMPRODUCT(--(COUNTIFS(Data!$A$2:$A$195,$A61,Data!$B$2:$B$195,$B61,Data!$C$2:$C$195,Abundance!$A$2:$A$20)&gt;0))</f>
        <v>4</v>
      </c>
      <c r="F61" s="14" t="n">
        <f aca="false">SUMIFS(Data!$D$2:$D$195,Data!$A$2:$A$195,$A61,Data!$B$2:$B$195,$B61,Data!$E$2:$E$195,"I")</f>
        <v>2</v>
      </c>
      <c r="G61" s="14" t="n">
        <f aca="false">SUMIFS(Data!$D$2:$D$195,Data!$A$2:$A$195,$A61,Data!$B$2:$B$195,$B61,Data!$E$2:$E$195,"F")</f>
        <v>6</v>
      </c>
      <c r="H61" s="14" t="n">
        <f aca="false">SUMIFS(Data!$D$2:$D$195,Data!$A$2:$A$195,$A61,Data!$B$2:$B$195,$B61,Data!$E$2:$E$195,"S")</f>
        <v>1</v>
      </c>
      <c r="I61" s="14" t="n">
        <f aca="false">SUMIFS(Data!$D$2:$D$195,Data!$A$2:$A$195,$A61,Data!$B$2:$B$195,$B61,Data!$E$2:$E$195,"W")</f>
        <v>0</v>
      </c>
      <c r="J61" s="15" t="n">
        <v>2</v>
      </c>
      <c r="K61" s="14" t="n">
        <f aca="false">MATCH(C61,Tide_table!$A$4:$A$15,1)</f>
        <v>11</v>
      </c>
      <c r="L61" s="23" t="n">
        <f aca="false">INDEX(Tide_table!$A$4:$A$15,K61)</f>
        <v>46295.6229166667</v>
      </c>
      <c r="M61" s="23" t="n">
        <f aca="false">INDEX(Tide_table!$A$4:$A$15,K61+1)</f>
        <v>46295.9034722222</v>
      </c>
      <c r="N61" s="17" t="n">
        <f aca="false">INDEX(Tide_table!$B$4:$B$15,K61)</f>
        <v>3.24</v>
      </c>
      <c r="O61" s="17" t="n">
        <f aca="false">INDEX(Tide_table!$B$4:$B$15,K61+1)</f>
        <v>0.54</v>
      </c>
      <c r="P61" s="14" t="str">
        <f aca="false">INDEX(Tide_table!$C$4:$C$15,K61)</f>
        <v>HW</v>
      </c>
      <c r="Q61" s="14" t="str">
        <f aca="false">INDEX(Tide_table!$C$4:$C$15,K61+1)</f>
        <v>NW</v>
      </c>
      <c r="R61" s="17" t="n">
        <f aca="false">N61+(O61-N61)*(1-COS(PI()*(C61-L61)/(M61-L61)))/2</f>
        <v>3.21846531854324</v>
      </c>
      <c r="S61" s="16" t="n">
        <f aca="false">(C61-L61)*24</f>
        <v>0.383333333333333</v>
      </c>
      <c r="T61" s="16" t="n">
        <f aca="false">(M61-C61)*24</f>
        <v>6.35</v>
      </c>
      <c r="U61" s="14" t="str">
        <f aca="false">IF(MIN(S61,T61)&lt;=Tide_summary!$B$3,IF(IF(S61&lt;=T61,P61,Q61)="HW","High water","Low water"),IF(Q61="HW","Rising","Falling"))</f>
        <v>High water</v>
      </c>
    </row>
    <row r="62" customFormat="false" ht="15" hidden="false" customHeight="false" outlineLevel="0" collapsed="false">
      <c r="A62" s="14" t="s">
        <v>5</v>
      </c>
      <c r="B62" s="14" t="s">
        <v>126</v>
      </c>
      <c r="C62" s="23" t="n">
        <f aca="false">DATE(VALUE(RIGHT(A62,4)),VALUE(MID(A62,4,2)),VALUE(LEFT(A62,2)))+TIMEVALUE(B62)</f>
        <v>46295.6458333333</v>
      </c>
      <c r="D62" s="14" t="n">
        <f aca="false">SUMIFS(Data!$D$2:$D$195,Data!$A$2:$A$195,$A62,Data!$B$2:$B$195,$B62)</f>
        <v>3</v>
      </c>
      <c r="E62" s="14" t="n">
        <f aca="false">SUMPRODUCT(--(COUNTIFS(Data!$A$2:$A$195,$A62,Data!$B$2:$B$195,$B62,Data!$C$2:$C$195,Abundance!$A$2:$A$20)&gt;0))</f>
        <v>1</v>
      </c>
      <c r="F62" s="14" t="n">
        <f aca="false">SUMIFS(Data!$D$2:$D$195,Data!$A$2:$A$195,$A62,Data!$B$2:$B$195,$B62,Data!$E$2:$E$195,"I")</f>
        <v>3</v>
      </c>
      <c r="G62" s="14" t="n">
        <f aca="false">SUMIFS(Data!$D$2:$D$195,Data!$A$2:$A$195,$A62,Data!$B$2:$B$195,$B62,Data!$E$2:$E$195,"F")</f>
        <v>0</v>
      </c>
      <c r="H62" s="14" t="n">
        <f aca="false">SUMIFS(Data!$D$2:$D$195,Data!$A$2:$A$195,$A62,Data!$B$2:$B$195,$B62,Data!$E$2:$E$195,"S")</f>
        <v>0</v>
      </c>
      <c r="I62" s="14" t="n">
        <f aca="false">SUMIFS(Data!$D$2:$D$195,Data!$A$2:$A$195,$A62,Data!$B$2:$B$195,$B62,Data!$E$2:$E$195,"W")</f>
        <v>0</v>
      </c>
      <c r="J62" s="15" t="n">
        <v>2</v>
      </c>
      <c r="K62" s="14" t="n">
        <f aca="false">MATCH(C62,Tide_table!$A$4:$A$15,1)</f>
        <v>11</v>
      </c>
      <c r="L62" s="23" t="n">
        <f aca="false">INDEX(Tide_table!$A$4:$A$15,K62)</f>
        <v>46295.6229166667</v>
      </c>
      <c r="M62" s="23" t="n">
        <f aca="false">INDEX(Tide_table!$A$4:$A$15,K62+1)</f>
        <v>46295.9034722222</v>
      </c>
      <c r="N62" s="17" t="n">
        <f aca="false">INDEX(Tide_table!$B$4:$B$15,K62)</f>
        <v>3.24</v>
      </c>
      <c r="O62" s="17" t="n">
        <f aca="false">INDEX(Tide_table!$B$4:$B$15,K62+1)</f>
        <v>0.54</v>
      </c>
      <c r="P62" s="14" t="str">
        <f aca="false">INDEX(Tide_table!$C$4:$C$15,K62)</f>
        <v>HW</v>
      </c>
      <c r="Q62" s="14" t="str">
        <f aca="false">INDEX(Tide_table!$C$4:$C$15,K62+1)</f>
        <v>NW</v>
      </c>
      <c r="R62" s="17" t="n">
        <f aca="false">N62+(O62-N62)*(1-COS(PI()*(C62-L62)/(M62-L62)))/2</f>
        <v>3.19579370499558</v>
      </c>
      <c r="S62" s="16" t="n">
        <f aca="false">(C62-L62)*24</f>
        <v>0.55</v>
      </c>
      <c r="T62" s="16" t="n">
        <f aca="false">(M62-C62)*24</f>
        <v>6.18333333333333</v>
      </c>
      <c r="U62" s="14" t="str">
        <f aca="false">IF(MIN(S62,T62)&lt;=Tide_summary!$B$3,IF(IF(S62&lt;=T62,P62,Q62)="HW","High water","Low water"),IF(Q62="HW","Rising","Falling"))</f>
        <v>High water</v>
      </c>
    </row>
    <row r="63" customFormat="false" ht="15" hidden="false" customHeight="false" outlineLevel="0" collapsed="false">
      <c r="A63" s="14" t="s">
        <v>5</v>
      </c>
      <c r="B63" s="14" t="s">
        <v>106</v>
      </c>
      <c r="C63" s="23" t="n">
        <f aca="false">DATE(VALUE(RIGHT(A63,4)),VALUE(MID(A63,4,2)),VALUE(LEFT(A63,2)))+TIMEVALUE(B63)</f>
        <v>46295.6527777778</v>
      </c>
      <c r="D63" s="14" t="n">
        <f aca="false">SUMIFS(Data!$D$2:$D$195,Data!$A$2:$A$195,$A63,Data!$B$2:$B$195,$B63)</f>
        <v>5</v>
      </c>
      <c r="E63" s="14" t="n">
        <f aca="false">SUMPRODUCT(--(COUNTIFS(Data!$A$2:$A$195,$A63,Data!$B$2:$B$195,$B63,Data!$C$2:$C$195,Abundance!$A$2:$A$20)&gt;0))</f>
        <v>4</v>
      </c>
      <c r="F63" s="14" t="n">
        <f aca="false">SUMIFS(Data!$D$2:$D$195,Data!$A$2:$A$195,$A63,Data!$B$2:$B$195,$B63,Data!$E$2:$E$195,"I")</f>
        <v>1</v>
      </c>
      <c r="G63" s="14" t="n">
        <f aca="false">SUMIFS(Data!$D$2:$D$195,Data!$A$2:$A$195,$A63,Data!$B$2:$B$195,$B63,Data!$E$2:$E$195,"F")</f>
        <v>1</v>
      </c>
      <c r="H63" s="14" t="n">
        <f aca="false">SUMIFS(Data!$D$2:$D$195,Data!$A$2:$A$195,$A63,Data!$B$2:$B$195,$B63,Data!$E$2:$E$195,"S")</f>
        <v>3</v>
      </c>
      <c r="I63" s="14" t="n">
        <f aca="false">SUMIFS(Data!$D$2:$D$195,Data!$A$2:$A$195,$A63,Data!$B$2:$B$195,$B63,Data!$E$2:$E$195,"W")</f>
        <v>0</v>
      </c>
      <c r="J63" s="15" t="n">
        <v>3</v>
      </c>
      <c r="K63" s="14" t="n">
        <f aca="false">MATCH(C63,Tide_table!$A$4:$A$15,1)</f>
        <v>11</v>
      </c>
      <c r="L63" s="23" t="n">
        <f aca="false">INDEX(Tide_table!$A$4:$A$15,K63)</f>
        <v>46295.6229166667</v>
      </c>
      <c r="M63" s="23" t="n">
        <f aca="false">INDEX(Tide_table!$A$4:$A$15,K63+1)</f>
        <v>46295.9034722222</v>
      </c>
      <c r="N63" s="17" t="n">
        <f aca="false">INDEX(Tide_table!$B$4:$B$15,K63)</f>
        <v>3.24</v>
      </c>
      <c r="O63" s="17" t="n">
        <f aca="false">INDEX(Tide_table!$B$4:$B$15,K63+1)</f>
        <v>0.54</v>
      </c>
      <c r="P63" s="14" t="str">
        <f aca="false">INDEX(Tide_table!$C$4:$C$15,K63)</f>
        <v>HW</v>
      </c>
      <c r="Q63" s="14" t="str">
        <f aca="false">INDEX(Tide_table!$C$4:$C$15,K63+1)</f>
        <v>NW</v>
      </c>
      <c r="R63" s="17" t="n">
        <f aca="false">N63+(O63-N63)*(1-COS(PI()*(C63-L63)/(M63-L63)))/2</f>
        <v>3.16522998874938</v>
      </c>
      <c r="S63" s="16" t="n">
        <f aca="false">(C63-L63)*24</f>
        <v>0.716666666666667</v>
      </c>
      <c r="T63" s="16" t="n">
        <f aca="false">(M63-C63)*24</f>
        <v>6.01666666666667</v>
      </c>
      <c r="U63" s="14" t="str">
        <f aca="false">IF(MIN(S63,T63)&lt;=Tide_summary!$B$3,IF(IF(S63&lt;=T63,P63,Q63)="HW","High water","Low water"),IF(Q63="HW","Rising","Falling"))</f>
        <v>High water</v>
      </c>
    </row>
    <row r="64" customFormat="false" ht="15" hidden="false" customHeight="false" outlineLevel="0" collapsed="false">
      <c r="A64" s="14" t="s">
        <v>5</v>
      </c>
      <c r="B64" s="14" t="s">
        <v>118</v>
      </c>
      <c r="C64" s="23" t="n">
        <f aca="false">DATE(VALUE(RIGHT(A64,4)),VALUE(MID(A64,4,2)),VALUE(LEFT(A64,2)))+TIMEVALUE(B64)</f>
        <v>46295.6666666667</v>
      </c>
      <c r="D64" s="14" t="n">
        <f aca="false">SUMIFS(Data!$D$2:$D$195,Data!$A$2:$A$195,$A64,Data!$B$2:$B$195,$B64)</f>
        <v>41</v>
      </c>
      <c r="E64" s="14" t="n">
        <f aca="false">SUMPRODUCT(--(COUNTIFS(Data!$A$2:$A$195,$A64,Data!$B$2:$B$195,$B64,Data!$C$2:$C$195,Abundance!$A$2:$A$20)&gt;0))</f>
        <v>4</v>
      </c>
      <c r="F64" s="14" t="n">
        <f aca="false">SUMIFS(Data!$D$2:$D$195,Data!$A$2:$A$195,$A64,Data!$B$2:$B$195,$B64,Data!$E$2:$E$195,"I")</f>
        <v>40</v>
      </c>
      <c r="G64" s="14" t="n">
        <f aca="false">SUMIFS(Data!$D$2:$D$195,Data!$A$2:$A$195,$A64,Data!$B$2:$B$195,$B64,Data!$E$2:$E$195,"F")</f>
        <v>0</v>
      </c>
      <c r="H64" s="14" t="n">
        <f aca="false">SUMIFS(Data!$D$2:$D$195,Data!$A$2:$A$195,$A64,Data!$B$2:$B$195,$B64,Data!$E$2:$E$195,"S")</f>
        <v>1</v>
      </c>
      <c r="I64" s="14" t="n">
        <f aca="false">SUMIFS(Data!$D$2:$D$195,Data!$A$2:$A$195,$A64,Data!$B$2:$B$195,$B64,Data!$E$2:$E$195,"W")</f>
        <v>0</v>
      </c>
      <c r="J64" s="15" t="n">
        <v>0</v>
      </c>
      <c r="K64" s="14" t="n">
        <f aca="false">MATCH(C64,Tide_table!$A$4:$A$15,1)</f>
        <v>11</v>
      </c>
      <c r="L64" s="23" t="n">
        <f aca="false">INDEX(Tide_table!$A$4:$A$15,K64)</f>
        <v>46295.6229166667</v>
      </c>
      <c r="M64" s="23" t="n">
        <f aca="false">INDEX(Tide_table!$A$4:$A$15,K64+1)</f>
        <v>46295.9034722222</v>
      </c>
      <c r="N64" s="17" t="n">
        <f aca="false">INDEX(Tide_table!$B$4:$B$15,K64)</f>
        <v>3.24</v>
      </c>
      <c r="O64" s="17" t="n">
        <f aca="false">INDEX(Tide_table!$B$4:$B$15,K64+1)</f>
        <v>0.54</v>
      </c>
      <c r="P64" s="14" t="str">
        <f aca="false">INDEX(Tide_table!$C$4:$C$15,K64)</f>
        <v>HW</v>
      </c>
      <c r="Q64" s="14" t="str">
        <f aca="false">INDEX(Tide_table!$C$4:$C$15,K64+1)</f>
        <v>NW</v>
      </c>
      <c r="R64" s="17" t="n">
        <f aca="false">N64+(O64-N64)*(1-COS(PI()*(C64-L64)/(M64-L64)))/2</f>
        <v>3.08121172856831</v>
      </c>
      <c r="S64" s="16" t="n">
        <f aca="false">(C64-L64)*24</f>
        <v>1.05</v>
      </c>
      <c r="T64" s="16" t="n">
        <f aca="false">(M64-C64)*24</f>
        <v>5.68333333333333</v>
      </c>
      <c r="U64" s="14" t="str">
        <f aca="false">IF(MIN(S64,T64)&lt;=Tide_summary!$B$3,IF(IF(S64&lt;=T64,P64,Q64)="HW","High water","Low water"),IF(Q64="HW","Rising","Falling"))</f>
        <v>High water</v>
      </c>
    </row>
    <row r="65" customFormat="false" ht="15" hidden="false" customHeight="false" outlineLevel="0" collapsed="false">
      <c r="A65" s="14" t="s">
        <v>5</v>
      </c>
      <c r="B65" s="14" t="s">
        <v>107</v>
      </c>
      <c r="C65" s="23" t="n">
        <f aca="false">DATE(VALUE(RIGHT(A65,4)),VALUE(MID(A65,4,2)),VALUE(LEFT(A65,2)))+TIMEVALUE(B65)</f>
        <v>46295.6805555556</v>
      </c>
      <c r="D65" s="14" t="n">
        <f aca="false">SUMIFS(Data!$D$2:$D$195,Data!$A$2:$A$195,$A65,Data!$B$2:$B$195,$B65)</f>
        <v>20</v>
      </c>
      <c r="E65" s="14" t="n">
        <f aca="false">SUMPRODUCT(--(COUNTIFS(Data!$A$2:$A$195,$A65,Data!$B$2:$B$195,$B65,Data!$C$2:$C$195,Abundance!$A$2:$A$20)&gt;0))</f>
        <v>1</v>
      </c>
      <c r="F65" s="14" t="n">
        <f aca="false">SUMIFS(Data!$D$2:$D$195,Data!$A$2:$A$195,$A65,Data!$B$2:$B$195,$B65,Data!$E$2:$E$195,"I")</f>
        <v>20</v>
      </c>
      <c r="G65" s="14" t="n">
        <f aca="false">SUMIFS(Data!$D$2:$D$195,Data!$A$2:$A$195,$A65,Data!$B$2:$B$195,$B65,Data!$E$2:$E$195,"F")</f>
        <v>0</v>
      </c>
      <c r="H65" s="14" t="n">
        <f aca="false">SUMIFS(Data!$D$2:$D$195,Data!$A$2:$A$195,$A65,Data!$B$2:$B$195,$B65,Data!$E$2:$E$195,"S")</f>
        <v>0</v>
      </c>
      <c r="I65" s="14" t="n">
        <f aca="false">SUMIFS(Data!$D$2:$D$195,Data!$A$2:$A$195,$A65,Data!$B$2:$B$195,$B65,Data!$E$2:$E$195,"W")</f>
        <v>0</v>
      </c>
      <c r="J65" s="15" t="n">
        <v>1</v>
      </c>
      <c r="K65" s="14" t="n">
        <f aca="false">MATCH(C65,Tide_table!$A$4:$A$15,1)</f>
        <v>11</v>
      </c>
      <c r="L65" s="23" t="n">
        <f aca="false">INDEX(Tide_table!$A$4:$A$15,K65)</f>
        <v>46295.6229166667</v>
      </c>
      <c r="M65" s="23" t="n">
        <f aca="false">INDEX(Tide_table!$A$4:$A$15,K65+1)</f>
        <v>46295.9034722222</v>
      </c>
      <c r="N65" s="17" t="n">
        <f aca="false">INDEX(Tide_table!$B$4:$B$15,K65)</f>
        <v>3.24</v>
      </c>
      <c r="O65" s="17" t="n">
        <f aca="false">INDEX(Tide_table!$B$4:$B$15,K65+1)</f>
        <v>0.54</v>
      </c>
      <c r="P65" s="14" t="str">
        <f aca="false">INDEX(Tide_table!$C$4:$C$15,K65)</f>
        <v>HW</v>
      </c>
      <c r="Q65" s="14" t="str">
        <f aca="false">INDEX(Tide_table!$C$4:$C$15,K65+1)</f>
        <v>NW</v>
      </c>
      <c r="R65" s="17" t="n">
        <f aca="false">N65+(O65-N65)*(1-COS(PI()*(C65-L65)/(M65-L65)))/2</f>
        <v>2.9684386649083</v>
      </c>
      <c r="S65" s="16" t="n">
        <f aca="false">(C65-L65)*24</f>
        <v>1.38333333333333</v>
      </c>
      <c r="T65" s="16" t="n">
        <f aca="false">(M65-C65)*24</f>
        <v>5.35</v>
      </c>
      <c r="U65" s="14" t="str">
        <f aca="false">IF(MIN(S65,T65)&lt;=Tide_summary!$B$3,IF(IF(S65&lt;=T65,P65,Q65)="HW","High water","Low water"),IF(Q65="HW","Rising","Falling"))</f>
        <v>High water</v>
      </c>
    </row>
    <row r="66" customFormat="false" ht="15" hidden="false" customHeight="false" outlineLevel="0" collapsed="false">
      <c r="A66" s="14" t="s">
        <v>5</v>
      </c>
      <c r="B66" s="14" t="s">
        <v>108</v>
      </c>
      <c r="C66" s="23" t="n">
        <f aca="false">DATE(VALUE(RIGHT(A66,4)),VALUE(MID(A66,4,2)),VALUE(LEFT(A66,2)))+TIMEVALUE(B66)</f>
        <v>46295.6944444444</v>
      </c>
      <c r="D66" s="14" t="n">
        <f aca="false">SUMIFS(Data!$D$2:$D$195,Data!$A$2:$A$195,$A66,Data!$B$2:$B$195,$B66)</f>
        <v>2</v>
      </c>
      <c r="E66" s="14" t="n">
        <f aca="false">SUMPRODUCT(--(COUNTIFS(Data!$A$2:$A$195,$A66,Data!$B$2:$B$195,$B66,Data!$C$2:$C$195,Abundance!$A$2:$A$20)&gt;0))</f>
        <v>1</v>
      </c>
      <c r="F66" s="14" t="n">
        <f aca="false">SUMIFS(Data!$D$2:$D$195,Data!$A$2:$A$195,$A66,Data!$B$2:$B$195,$B66,Data!$E$2:$E$195,"I")</f>
        <v>0</v>
      </c>
      <c r="G66" s="14" t="n">
        <f aca="false">SUMIFS(Data!$D$2:$D$195,Data!$A$2:$A$195,$A66,Data!$B$2:$B$195,$B66,Data!$E$2:$E$195,"F")</f>
        <v>0</v>
      </c>
      <c r="H66" s="14" t="n">
        <f aca="false">SUMIFS(Data!$D$2:$D$195,Data!$A$2:$A$195,$A66,Data!$B$2:$B$195,$B66,Data!$E$2:$E$195,"S")</f>
        <v>2</v>
      </c>
      <c r="I66" s="14" t="n">
        <f aca="false">SUMIFS(Data!$D$2:$D$195,Data!$A$2:$A$195,$A66,Data!$B$2:$B$195,$B66,Data!$E$2:$E$195,"W")</f>
        <v>0</v>
      </c>
      <c r="J66" s="15" t="n">
        <v>2</v>
      </c>
      <c r="K66" s="14" t="n">
        <f aca="false">MATCH(C66,Tide_table!$A$4:$A$15,1)</f>
        <v>11</v>
      </c>
      <c r="L66" s="23" t="n">
        <f aca="false">INDEX(Tide_table!$A$4:$A$15,K66)</f>
        <v>46295.6229166667</v>
      </c>
      <c r="M66" s="23" t="n">
        <f aca="false">INDEX(Tide_table!$A$4:$A$15,K66+1)</f>
        <v>46295.9034722222</v>
      </c>
      <c r="N66" s="17" t="n">
        <f aca="false">INDEX(Tide_table!$B$4:$B$15,K66)</f>
        <v>3.24</v>
      </c>
      <c r="O66" s="17" t="n">
        <f aca="false">INDEX(Tide_table!$B$4:$B$15,K66+1)</f>
        <v>0.54</v>
      </c>
      <c r="P66" s="14" t="str">
        <f aca="false">INDEX(Tide_table!$C$4:$C$15,K66)</f>
        <v>HW</v>
      </c>
      <c r="Q66" s="14" t="str">
        <f aca="false">INDEX(Tide_table!$C$4:$C$15,K66+1)</f>
        <v>NW</v>
      </c>
      <c r="R66" s="17" t="n">
        <f aca="false">N66+(O66-N66)*(1-COS(PI()*(C66-L66)/(M66-L66)))/2</f>
        <v>2.82963304034427</v>
      </c>
      <c r="S66" s="16" t="n">
        <f aca="false">(C66-L66)*24</f>
        <v>1.71666666666667</v>
      </c>
      <c r="T66" s="16" t="n">
        <f aca="false">(M66-C66)*24</f>
        <v>5.01666666666667</v>
      </c>
      <c r="U66" s="14" t="str">
        <f aca="false">IF(MIN(S66,T66)&lt;=Tide_summary!$B$3,IF(IF(S66&lt;=T66,P66,Q66)="HW","High water","Low water"),IF(Q66="HW","Rising","Falling"))</f>
        <v>Falling</v>
      </c>
    </row>
    <row r="67" customFormat="false" ht="15" hidden="false" customHeight="false" outlineLevel="0" collapsed="false">
      <c r="A67" s="14" t="s">
        <v>5</v>
      </c>
      <c r="B67" s="14" t="s">
        <v>120</v>
      </c>
      <c r="C67" s="23" t="n">
        <f aca="false">DATE(VALUE(RIGHT(A67,4)),VALUE(MID(A67,4,2)),VALUE(LEFT(A67,2)))+TIMEVALUE(B67)</f>
        <v>46295.7083333333</v>
      </c>
      <c r="D67" s="14" t="n">
        <f aca="false">SUMIFS(Data!$D$2:$D$195,Data!$A$2:$A$195,$A67,Data!$B$2:$B$195,$B67)</f>
        <v>11</v>
      </c>
      <c r="E67" s="14" t="n">
        <f aca="false">SUMPRODUCT(--(COUNTIFS(Data!$A$2:$A$195,$A67,Data!$B$2:$B$195,$B67,Data!$C$2:$C$195,Abundance!$A$2:$A$20)&gt;0))</f>
        <v>4</v>
      </c>
      <c r="F67" s="14" t="n">
        <f aca="false">SUMIFS(Data!$D$2:$D$195,Data!$A$2:$A$195,$A67,Data!$B$2:$B$195,$B67,Data!$E$2:$E$195,"I")</f>
        <v>6</v>
      </c>
      <c r="G67" s="14" t="n">
        <f aca="false">SUMIFS(Data!$D$2:$D$195,Data!$A$2:$A$195,$A67,Data!$B$2:$B$195,$B67,Data!$E$2:$E$195,"F")</f>
        <v>1</v>
      </c>
      <c r="H67" s="14" t="n">
        <f aca="false">SUMIFS(Data!$D$2:$D$195,Data!$A$2:$A$195,$A67,Data!$B$2:$B$195,$B67,Data!$E$2:$E$195,"S")</f>
        <v>4</v>
      </c>
      <c r="I67" s="14" t="n">
        <f aca="false">SUMIFS(Data!$D$2:$D$195,Data!$A$2:$A$195,$A67,Data!$B$2:$B$195,$B67,Data!$E$2:$E$195,"W")</f>
        <v>0</v>
      </c>
      <c r="J67" s="15" t="n">
        <v>2.33333333333333</v>
      </c>
      <c r="K67" s="14" t="n">
        <f aca="false">MATCH(C67,Tide_table!$A$4:$A$15,1)</f>
        <v>11</v>
      </c>
      <c r="L67" s="23" t="n">
        <f aca="false">INDEX(Tide_table!$A$4:$A$15,K67)</f>
        <v>46295.6229166667</v>
      </c>
      <c r="M67" s="23" t="n">
        <f aca="false">INDEX(Tide_table!$A$4:$A$15,K67+1)</f>
        <v>46295.9034722222</v>
      </c>
      <c r="N67" s="17" t="n">
        <f aca="false">INDEX(Tide_table!$B$4:$B$15,K67)</f>
        <v>3.24</v>
      </c>
      <c r="O67" s="17" t="n">
        <f aca="false">INDEX(Tide_table!$B$4:$B$15,K67+1)</f>
        <v>0.54</v>
      </c>
      <c r="P67" s="14" t="str">
        <f aca="false">INDEX(Tide_table!$C$4:$C$15,K67)</f>
        <v>HW</v>
      </c>
      <c r="Q67" s="14" t="str">
        <f aca="false">INDEX(Tide_table!$C$4:$C$15,K67+1)</f>
        <v>NW</v>
      </c>
      <c r="R67" s="17" t="n">
        <f aca="false">N67+(O67-N67)*(1-COS(PI()*(C67-L67)/(M67-L67)))/2</f>
        <v>2.66814550057621</v>
      </c>
      <c r="S67" s="16" t="n">
        <f aca="false">(C67-L67)*24</f>
        <v>2.05</v>
      </c>
      <c r="T67" s="16" t="n">
        <f aca="false">(M67-C67)*24</f>
        <v>4.68333333333333</v>
      </c>
      <c r="U67" s="14" t="str">
        <f aca="false">IF(MIN(S67,T67)&lt;=Tide_summary!$B$3,IF(IF(S67&lt;=T67,P67,Q67)="HW","High water","Low water"),IF(Q67="HW","Rising","Falling"))</f>
        <v>Falling</v>
      </c>
    </row>
    <row r="68" customFormat="false" ht="15" hidden="false" customHeight="false" outlineLevel="0" collapsed="false">
      <c r="A68" s="14" t="s">
        <v>5</v>
      </c>
      <c r="B68" s="14" t="s">
        <v>121</v>
      </c>
      <c r="C68" s="23" t="n">
        <f aca="false">DATE(VALUE(RIGHT(A68,4)),VALUE(MID(A68,4,2)),VALUE(LEFT(A68,2)))+TIMEVALUE(B68)</f>
        <v>46295.7222222222</v>
      </c>
      <c r="D68" s="14" t="n">
        <f aca="false">SUMIFS(Data!$D$2:$D$195,Data!$A$2:$A$195,$A68,Data!$B$2:$B$195,$B68)</f>
        <v>109</v>
      </c>
      <c r="E68" s="14" t="n">
        <f aca="false">SUMPRODUCT(--(COUNTIFS(Data!$A$2:$A$195,$A68,Data!$B$2:$B$195,$B68,Data!$C$2:$C$195,Abundance!$A$2:$A$20)&gt;0))</f>
        <v>6</v>
      </c>
      <c r="F68" s="14" t="n">
        <f aca="false">SUMIFS(Data!$D$2:$D$195,Data!$A$2:$A$195,$A68,Data!$B$2:$B$195,$B68,Data!$E$2:$E$195,"I")</f>
        <v>74</v>
      </c>
      <c r="G68" s="14" t="n">
        <f aca="false">SUMIFS(Data!$D$2:$D$195,Data!$A$2:$A$195,$A68,Data!$B$2:$B$195,$B68,Data!$E$2:$E$195,"F")</f>
        <v>0</v>
      </c>
      <c r="H68" s="14" t="n">
        <f aca="false">SUMIFS(Data!$D$2:$D$195,Data!$A$2:$A$195,$A68,Data!$B$2:$B$195,$B68,Data!$E$2:$E$195,"S")</f>
        <v>35</v>
      </c>
      <c r="I68" s="14" t="n">
        <f aca="false">SUMIFS(Data!$D$2:$D$195,Data!$A$2:$A$195,$A68,Data!$B$2:$B$195,$B68,Data!$E$2:$E$195,"W")</f>
        <v>0</v>
      </c>
      <c r="J68" s="15" t="n">
        <v>4</v>
      </c>
      <c r="K68" s="14" t="n">
        <f aca="false">MATCH(C68,Tide_table!$A$4:$A$15,1)</f>
        <v>11</v>
      </c>
      <c r="L68" s="23" t="n">
        <f aca="false">INDEX(Tide_table!$A$4:$A$15,K68)</f>
        <v>46295.6229166667</v>
      </c>
      <c r="M68" s="23" t="n">
        <f aca="false">INDEX(Tide_table!$A$4:$A$15,K68+1)</f>
        <v>46295.9034722222</v>
      </c>
      <c r="N68" s="17" t="n">
        <f aca="false">INDEX(Tide_table!$B$4:$B$15,K68)</f>
        <v>3.24</v>
      </c>
      <c r="O68" s="17" t="n">
        <f aca="false">INDEX(Tide_table!$B$4:$B$15,K68+1)</f>
        <v>0.54</v>
      </c>
      <c r="P68" s="14" t="str">
        <f aca="false">INDEX(Tide_table!$C$4:$C$15,K68)</f>
        <v>HW</v>
      </c>
      <c r="Q68" s="14" t="str">
        <f aca="false">INDEX(Tide_table!$C$4:$C$15,K68+1)</f>
        <v>NW</v>
      </c>
      <c r="R68" s="17" t="n">
        <f aca="false">N68+(O68-N68)*(1-COS(PI()*(C68-L68)/(M68-L68)))/2</f>
        <v>2.48787421278883</v>
      </c>
      <c r="S68" s="16" t="n">
        <f aca="false">(C68-L68)*24</f>
        <v>2.38333333333333</v>
      </c>
      <c r="T68" s="16" t="n">
        <f aca="false">(M68-C68)*24</f>
        <v>4.35</v>
      </c>
      <c r="U68" s="14" t="str">
        <f aca="false">IF(MIN(S68,T68)&lt;=Tide_summary!$B$3,IF(IF(S68&lt;=T68,P68,Q68)="HW","High water","Low water"),IF(Q68="HW","Rising","Falling"))</f>
        <v>Falling</v>
      </c>
    </row>
    <row r="69" customFormat="false" ht="15" hidden="false" customHeight="false" outlineLevel="0" collapsed="false">
      <c r="A69" s="14" t="s">
        <v>5</v>
      </c>
      <c r="B69" s="14" t="s">
        <v>123</v>
      </c>
      <c r="C69" s="23" t="n">
        <f aca="false">DATE(VALUE(RIGHT(A69,4)),VALUE(MID(A69,4,2)),VALUE(LEFT(A69,2)))+TIMEVALUE(B69)</f>
        <v>46295.7361111111</v>
      </c>
      <c r="D69" s="14" t="n">
        <f aca="false">SUMIFS(Data!$D$2:$D$195,Data!$A$2:$A$195,$A69,Data!$B$2:$B$195,$B69)</f>
        <v>61</v>
      </c>
      <c r="E69" s="14" t="n">
        <f aca="false">SUMPRODUCT(--(COUNTIFS(Data!$A$2:$A$195,$A69,Data!$B$2:$B$195,$B69,Data!$C$2:$C$195,Abundance!$A$2:$A$20)&gt;0))</f>
        <v>4</v>
      </c>
      <c r="F69" s="14" t="n">
        <f aca="false">SUMIFS(Data!$D$2:$D$195,Data!$A$2:$A$195,$A69,Data!$B$2:$B$195,$B69,Data!$E$2:$E$195,"I")</f>
        <v>57</v>
      </c>
      <c r="G69" s="14" t="n">
        <f aca="false">SUMIFS(Data!$D$2:$D$195,Data!$A$2:$A$195,$A69,Data!$B$2:$B$195,$B69,Data!$E$2:$E$195,"F")</f>
        <v>4</v>
      </c>
      <c r="H69" s="14" t="n">
        <f aca="false">SUMIFS(Data!$D$2:$D$195,Data!$A$2:$A$195,$A69,Data!$B$2:$B$195,$B69,Data!$E$2:$E$195,"S")</f>
        <v>0</v>
      </c>
      <c r="I69" s="14" t="n">
        <f aca="false">SUMIFS(Data!$D$2:$D$195,Data!$A$2:$A$195,$A69,Data!$B$2:$B$195,$B69,Data!$E$2:$E$195,"W")</f>
        <v>0</v>
      </c>
      <c r="J69" s="15" t="n">
        <v>0</v>
      </c>
      <c r="K69" s="14" t="n">
        <f aca="false">MATCH(C69,Tide_table!$A$4:$A$15,1)</f>
        <v>11</v>
      </c>
      <c r="L69" s="23" t="n">
        <f aca="false">INDEX(Tide_table!$A$4:$A$15,K69)</f>
        <v>46295.6229166667</v>
      </c>
      <c r="M69" s="23" t="n">
        <f aca="false">INDEX(Tide_table!$A$4:$A$15,K69+1)</f>
        <v>46295.9034722222</v>
      </c>
      <c r="N69" s="17" t="n">
        <f aca="false">INDEX(Tide_table!$B$4:$B$15,K69)</f>
        <v>3.24</v>
      </c>
      <c r="O69" s="17" t="n">
        <f aca="false">INDEX(Tide_table!$B$4:$B$15,K69+1)</f>
        <v>0.54</v>
      </c>
      <c r="P69" s="14" t="str">
        <f aca="false">INDEX(Tide_table!$C$4:$C$15,K69)</f>
        <v>HW</v>
      </c>
      <c r="Q69" s="14" t="str">
        <f aca="false">INDEX(Tide_table!$C$4:$C$15,K69+1)</f>
        <v>NW</v>
      </c>
      <c r="R69" s="17" t="n">
        <f aca="false">N69+(O69-N69)*(1-COS(PI()*(C69-L69)/(M69-L69)))/2</f>
        <v>2.29317076732405</v>
      </c>
      <c r="S69" s="16" t="n">
        <f aca="false">(C69-L69)*24</f>
        <v>2.71666666666667</v>
      </c>
      <c r="T69" s="16" t="n">
        <f aca="false">(M69-C69)*24</f>
        <v>4.01666666666667</v>
      </c>
      <c r="U69" s="14" t="str">
        <f aca="false">IF(MIN(S69,T69)&lt;=Tide_summary!$B$3,IF(IF(S69&lt;=T69,P69,Q69)="HW","High water","Low water"),IF(Q69="HW","Rising","Falling"))</f>
        <v>Falling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2026-10-06T11:21:51Z</dcterms:created>
  <dc:creator>openpyxl</dc:creator>
  <dc:description/>
  <dc:language>en-US</dc:language>
  <cp:lastModifiedBy/>
  <dcterms:modified xsi:type="dcterms:W3CDTF">2026-10-06T11:21:55Z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